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tmp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iagrams/data2.xml" ContentType="application/vnd.openxmlformats-officedocument.drawingml.diagramData+xml"/>
  <Override PartName="/xl/diagrams/layout2.xml" ContentType="application/vnd.openxmlformats-officedocument.drawingml.diagramLayout+xml"/>
  <Override PartName="/xl/diagrams/quickStyle2.xml" ContentType="application/vnd.openxmlformats-officedocument.drawingml.diagramStyle+xml"/>
  <Override PartName="/xl/diagrams/colors2.xml" ContentType="application/vnd.openxmlformats-officedocument.drawingml.diagramColors+xml"/>
  <Override PartName="/xl/diagrams/drawing2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ber\OneDrive\Desktop\ShivamGandhiExcelProjectFinal\"/>
    </mc:Choice>
  </mc:AlternateContent>
  <xr:revisionPtr revIDLastSave="0" documentId="13_ncr:40009_{2471F816-FA3B-4126-A54A-E246097877A4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Task4 Q1-8" sheetId="1" r:id="rId1"/>
    <sheet name="Task4 Q9" sheetId="6" r:id="rId2"/>
    <sheet name="Dashboard" sheetId="5" r:id="rId3"/>
  </sheets>
  <definedNames>
    <definedName name="_xlnm._FilterDatabase" localSheetId="0" hidden="1">'Task4 Q1-8'!$B$2:$B$941</definedName>
    <definedName name="_xlnm.Extract" localSheetId="0">'Task4 Q9'!$A$2</definedName>
  </definedNames>
  <calcPr calcId="191029"/>
</workbook>
</file>

<file path=xl/calcChain.xml><?xml version="1.0" encoding="utf-8"?>
<calcChain xmlns="http://schemas.openxmlformats.org/spreadsheetml/2006/main">
  <c r="J33" i="6" l="1"/>
  <c r="I33" i="6"/>
  <c r="H33" i="6"/>
  <c r="G33" i="6"/>
  <c r="F33" i="6"/>
  <c r="D33" i="6"/>
  <c r="E33" i="6" s="1"/>
  <c r="B33" i="6"/>
  <c r="C33" i="6" s="1"/>
  <c r="J32" i="6"/>
  <c r="I32" i="6"/>
  <c r="H32" i="6"/>
  <c r="G32" i="6"/>
  <c r="F32" i="6"/>
  <c r="D32" i="6"/>
  <c r="E32" i="6" s="1"/>
  <c r="B32" i="6"/>
  <c r="C32" i="6" s="1"/>
  <c r="J31" i="6"/>
  <c r="I31" i="6"/>
  <c r="H31" i="6"/>
  <c r="G31" i="6"/>
  <c r="F31" i="6"/>
  <c r="E31" i="6"/>
  <c r="D31" i="6"/>
  <c r="B31" i="6"/>
  <c r="C31" i="6" s="1"/>
  <c r="J30" i="6"/>
  <c r="I30" i="6"/>
  <c r="H30" i="6"/>
  <c r="G30" i="6"/>
  <c r="F30" i="6"/>
  <c r="E30" i="6"/>
  <c r="D30" i="6"/>
  <c r="B30" i="6"/>
  <c r="C30" i="6" s="1"/>
  <c r="J29" i="6"/>
  <c r="I29" i="6"/>
  <c r="H29" i="6"/>
  <c r="G29" i="6"/>
  <c r="F29" i="6"/>
  <c r="D29" i="6"/>
  <c r="E29" i="6" s="1"/>
  <c r="B29" i="6"/>
  <c r="C29" i="6" s="1"/>
  <c r="J28" i="6"/>
  <c r="I28" i="6"/>
  <c r="H28" i="6"/>
  <c r="G28" i="6"/>
  <c r="F28" i="6"/>
  <c r="D28" i="6"/>
  <c r="E28" i="6" s="1"/>
  <c r="B28" i="6"/>
  <c r="C28" i="6" s="1"/>
  <c r="J27" i="6"/>
  <c r="I27" i="6"/>
  <c r="H27" i="6"/>
  <c r="G27" i="6"/>
  <c r="F27" i="6"/>
  <c r="D27" i="6"/>
  <c r="E27" i="6" s="1"/>
  <c r="B27" i="6"/>
  <c r="C27" i="6" s="1"/>
  <c r="J26" i="6"/>
  <c r="I26" i="6"/>
  <c r="H26" i="6"/>
  <c r="G26" i="6"/>
  <c r="F26" i="6"/>
  <c r="E26" i="6"/>
  <c r="D26" i="6"/>
  <c r="B26" i="6"/>
  <c r="C26" i="6" s="1"/>
  <c r="J25" i="6"/>
  <c r="I25" i="6"/>
  <c r="H25" i="6"/>
  <c r="G25" i="6"/>
  <c r="F25" i="6"/>
  <c r="D25" i="6"/>
  <c r="E25" i="6" s="1"/>
  <c r="B25" i="6"/>
  <c r="C25" i="6" s="1"/>
  <c r="J24" i="6"/>
  <c r="I24" i="6"/>
  <c r="H24" i="6"/>
  <c r="G24" i="6"/>
  <c r="F24" i="6"/>
  <c r="D24" i="6"/>
  <c r="E24" i="6" s="1"/>
  <c r="C24" i="6"/>
  <c r="B24" i="6"/>
  <c r="J23" i="6"/>
  <c r="I23" i="6"/>
  <c r="H23" i="6"/>
  <c r="G23" i="6"/>
  <c r="F23" i="6"/>
  <c r="D23" i="6"/>
  <c r="E23" i="6" s="1"/>
  <c r="B23" i="6"/>
  <c r="C23" i="6" s="1"/>
  <c r="J22" i="6"/>
  <c r="I22" i="6"/>
  <c r="H22" i="6"/>
  <c r="G22" i="6"/>
  <c r="F22" i="6"/>
  <c r="D22" i="6"/>
  <c r="E22" i="6" s="1"/>
  <c r="B22" i="6"/>
  <c r="C22" i="6" s="1"/>
  <c r="J21" i="6"/>
  <c r="I21" i="6"/>
  <c r="H21" i="6"/>
  <c r="G21" i="6"/>
  <c r="F21" i="6"/>
  <c r="D21" i="6"/>
  <c r="E21" i="6" s="1"/>
  <c r="B21" i="6"/>
  <c r="C21" i="6" s="1"/>
  <c r="J20" i="6"/>
  <c r="I20" i="6"/>
  <c r="H20" i="6"/>
  <c r="G20" i="6"/>
  <c r="F20" i="6"/>
  <c r="D20" i="6"/>
  <c r="E20" i="6" s="1"/>
  <c r="B20" i="6"/>
  <c r="C20" i="6" s="1"/>
  <c r="J19" i="6"/>
  <c r="I19" i="6"/>
  <c r="H19" i="6"/>
  <c r="G19" i="6"/>
  <c r="F19" i="6"/>
  <c r="D19" i="6"/>
  <c r="E19" i="6" s="1"/>
  <c r="B19" i="6"/>
  <c r="C19" i="6" s="1"/>
  <c r="J18" i="6"/>
  <c r="I18" i="6"/>
  <c r="H18" i="6"/>
  <c r="G18" i="6"/>
  <c r="F18" i="6"/>
  <c r="E18" i="6"/>
  <c r="D18" i="6"/>
  <c r="B18" i="6"/>
  <c r="C18" i="6" s="1"/>
  <c r="J17" i="6"/>
  <c r="I17" i="6"/>
  <c r="H17" i="6"/>
  <c r="G17" i="6"/>
  <c r="F17" i="6"/>
  <c r="D17" i="6"/>
  <c r="E17" i="6" s="1"/>
  <c r="B17" i="6"/>
  <c r="C17" i="6" s="1"/>
  <c r="J16" i="6"/>
  <c r="I16" i="6"/>
  <c r="H16" i="6"/>
  <c r="G16" i="6"/>
  <c r="F16" i="6"/>
  <c r="D16" i="6"/>
  <c r="E16" i="6" s="1"/>
  <c r="C16" i="6"/>
  <c r="B16" i="6"/>
  <c r="J15" i="6"/>
  <c r="I15" i="6"/>
  <c r="H15" i="6"/>
  <c r="G15" i="6"/>
  <c r="F15" i="6"/>
  <c r="D15" i="6"/>
  <c r="E15" i="6" s="1"/>
  <c r="B15" i="6"/>
  <c r="C15" i="6" s="1"/>
  <c r="J14" i="6"/>
  <c r="I14" i="6"/>
  <c r="H14" i="6"/>
  <c r="G14" i="6"/>
  <c r="F14" i="6"/>
  <c r="D14" i="6"/>
  <c r="E14" i="6" s="1"/>
  <c r="B14" i="6"/>
  <c r="C14" i="6" s="1"/>
  <c r="J13" i="6"/>
  <c r="I13" i="6"/>
  <c r="H13" i="6"/>
  <c r="G13" i="6"/>
  <c r="F13" i="6"/>
  <c r="D13" i="6"/>
  <c r="E13" i="6" s="1"/>
  <c r="B13" i="6"/>
  <c r="C13" i="6" s="1"/>
  <c r="J12" i="6"/>
  <c r="I12" i="6"/>
  <c r="H12" i="6"/>
  <c r="G12" i="6"/>
  <c r="F12" i="6"/>
  <c r="D12" i="6"/>
  <c r="E12" i="6" s="1"/>
  <c r="B12" i="6"/>
  <c r="C12" i="6" s="1"/>
  <c r="J11" i="6"/>
  <c r="I11" i="6"/>
  <c r="H11" i="6"/>
  <c r="G11" i="6"/>
  <c r="F11" i="6"/>
  <c r="D11" i="6"/>
  <c r="E11" i="6" s="1"/>
  <c r="B11" i="6"/>
  <c r="C11" i="6" s="1"/>
  <c r="J10" i="6"/>
  <c r="I10" i="6"/>
  <c r="H10" i="6"/>
  <c r="G10" i="6"/>
  <c r="F10" i="6"/>
  <c r="E10" i="6"/>
  <c r="D10" i="6"/>
  <c r="B10" i="6"/>
  <c r="C10" i="6" s="1"/>
  <c r="J9" i="6"/>
  <c r="I9" i="6"/>
  <c r="H9" i="6"/>
  <c r="G9" i="6"/>
  <c r="F9" i="6"/>
  <c r="D9" i="6"/>
  <c r="E9" i="6" s="1"/>
  <c r="B9" i="6"/>
  <c r="C9" i="6" s="1"/>
  <c r="J8" i="6"/>
  <c r="I8" i="6"/>
  <c r="H8" i="6"/>
  <c r="G8" i="6"/>
  <c r="F8" i="6"/>
  <c r="D8" i="6"/>
  <c r="E8" i="6" s="1"/>
  <c r="C8" i="6"/>
  <c r="B8" i="6"/>
  <c r="J7" i="6"/>
  <c r="I7" i="6"/>
  <c r="H7" i="6"/>
  <c r="G7" i="6"/>
  <c r="F7" i="6"/>
  <c r="D7" i="6"/>
  <c r="E7" i="6" s="1"/>
  <c r="B7" i="6"/>
  <c r="C7" i="6" s="1"/>
  <c r="J6" i="6"/>
  <c r="I6" i="6"/>
  <c r="H6" i="6"/>
  <c r="G6" i="6"/>
  <c r="F6" i="6"/>
  <c r="D6" i="6"/>
  <c r="E6" i="6" s="1"/>
  <c r="B6" i="6"/>
  <c r="C6" i="6" s="1"/>
  <c r="J5" i="6"/>
  <c r="I5" i="6"/>
  <c r="H5" i="6"/>
  <c r="G5" i="6"/>
  <c r="F5" i="6"/>
  <c r="D5" i="6"/>
  <c r="E5" i="6" s="1"/>
  <c r="B5" i="6"/>
  <c r="C5" i="6" s="1"/>
  <c r="J4" i="6"/>
  <c r="I4" i="6"/>
  <c r="H4" i="6"/>
  <c r="G4" i="6"/>
  <c r="F4" i="6"/>
  <c r="D4" i="6"/>
  <c r="E4" i="6" s="1"/>
  <c r="B4" i="6"/>
  <c r="C4" i="6" s="1"/>
  <c r="J3" i="6"/>
  <c r="I3" i="6"/>
  <c r="H3" i="6"/>
  <c r="G3" i="6"/>
  <c r="F3" i="6"/>
  <c r="D3" i="6"/>
  <c r="E3" i="6" s="1"/>
  <c r="B3" i="6"/>
  <c r="C3" i="6" s="1"/>
  <c r="J2" i="6"/>
  <c r="I2" i="6"/>
  <c r="H2" i="6"/>
  <c r="G2" i="6"/>
  <c r="F2" i="6"/>
  <c r="E2" i="6"/>
  <c r="D2" i="6"/>
  <c r="B2" i="6"/>
  <c r="C2" i="6" s="1"/>
  <c r="N2" i="1"/>
  <c r="M2" i="1"/>
  <c r="L2" i="1"/>
  <c r="J2" i="1"/>
  <c r="K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2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L3" i="1"/>
  <c r="M3" i="1" s="1"/>
  <c r="L4" i="1"/>
  <c r="M4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J3" i="1"/>
  <c r="K3" i="1" s="1"/>
  <c r="J4" i="1"/>
  <c r="K4" i="1" s="1"/>
  <c r="J5" i="1"/>
  <c r="K5" i="1" s="1"/>
  <c r="J6" i="1"/>
  <c r="K6" i="1" s="1"/>
  <c r="J7" i="1"/>
  <c r="K7" i="1" s="1"/>
  <c r="J8" i="1"/>
  <c r="K8" i="1" s="1"/>
  <c r="J9" i="1"/>
  <c r="K9" i="1" s="1"/>
  <c r="J10" i="1"/>
  <c r="K10" i="1" s="1"/>
  <c r="J11" i="1"/>
  <c r="K11" i="1" s="1"/>
  <c r="J12" i="1"/>
  <c r="K12" i="1" s="1"/>
  <c r="J13" i="1"/>
  <c r="K13" i="1" s="1"/>
  <c r="J14" i="1"/>
  <c r="K14" i="1" s="1"/>
  <c r="J15" i="1"/>
  <c r="K15" i="1" s="1"/>
  <c r="J16" i="1"/>
  <c r="K16" i="1" s="1"/>
  <c r="J17" i="1"/>
  <c r="K17" i="1" s="1"/>
  <c r="J18" i="1"/>
  <c r="K18" i="1" s="1"/>
  <c r="J19" i="1"/>
  <c r="K19" i="1" s="1"/>
  <c r="J20" i="1"/>
  <c r="K20" i="1" s="1"/>
  <c r="J21" i="1"/>
  <c r="K21" i="1" s="1"/>
  <c r="J22" i="1"/>
  <c r="K22" i="1" s="1"/>
  <c r="J23" i="1"/>
  <c r="K23" i="1" s="1"/>
  <c r="J24" i="1"/>
  <c r="K24" i="1" s="1"/>
  <c r="J25" i="1"/>
  <c r="K25" i="1" s="1"/>
  <c r="J26" i="1"/>
  <c r="K26" i="1" s="1"/>
  <c r="J27" i="1"/>
  <c r="K27" i="1" s="1"/>
  <c r="J28" i="1"/>
  <c r="K28" i="1" s="1"/>
  <c r="J29" i="1"/>
  <c r="K29" i="1" s="1"/>
  <c r="J30" i="1"/>
  <c r="K30" i="1" s="1"/>
  <c r="J31" i="1"/>
  <c r="K31" i="1" s="1"/>
  <c r="J32" i="1"/>
  <c r="K32" i="1" s="1"/>
  <c r="J33" i="1"/>
  <c r="K33" i="1" s="1"/>
  <c r="J34" i="1"/>
  <c r="K34" i="1" s="1"/>
</calcChain>
</file>

<file path=xl/sharedStrings.xml><?xml version="1.0" encoding="utf-8"?>
<sst xmlns="http://schemas.openxmlformats.org/spreadsheetml/2006/main" count="31" uniqueCount="24">
  <si>
    <t>Id</t>
  </si>
  <si>
    <t>ActivityDate</t>
  </si>
  <si>
    <t>TotalSteps</t>
  </si>
  <si>
    <t>TotalDistance</t>
  </si>
  <si>
    <t>VeryActiveMinutes</t>
  </si>
  <si>
    <t>FairlyActiveMinutes</t>
  </si>
  <si>
    <t>LightlyActiveMinutes</t>
  </si>
  <si>
    <t>Calories</t>
  </si>
  <si>
    <t>Unique IDs</t>
  </si>
  <si>
    <t>Days of use</t>
  </si>
  <si>
    <t>Mean</t>
  </si>
  <si>
    <t>Group By Days</t>
  </si>
  <si>
    <t>Group By Mean</t>
  </si>
  <si>
    <t>Total Steps</t>
  </si>
  <si>
    <t>Total Calories</t>
  </si>
  <si>
    <t>AverageFairlyActiveMinutes</t>
  </si>
  <si>
    <t>AverageVeryActiveMinutes</t>
  </si>
  <si>
    <t>AverageLightlyActiveMinutes</t>
  </si>
  <si>
    <t>Unique Dates</t>
  </si>
  <si>
    <t>Days</t>
  </si>
  <si>
    <t>Group by days</t>
  </si>
  <si>
    <t>WeFit Fitness Tracker</t>
  </si>
  <si>
    <t>Criteria</t>
  </si>
  <si>
    <t>For Q8 I have used Average as it was not specified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</si>
</sst>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7"/>
      </left>
      <right/>
      <top style="medium">
        <color theme="7"/>
      </top>
      <bottom style="medium">
        <color theme="7"/>
      </bottom>
      <diagonal/>
    </border>
    <border>
      <left/>
      <right/>
      <top style="medium">
        <color theme="7"/>
      </top>
      <bottom style="medium">
        <color theme="7"/>
      </bottom>
      <diagonal/>
    </border>
    <border>
      <left/>
      <right style="medium">
        <color theme="7"/>
      </right>
      <top style="medium">
        <color theme="7"/>
      </top>
      <bottom style="medium">
        <color theme="7"/>
      </bottom>
      <diagonal/>
    </border>
    <border>
      <left style="medium">
        <color theme="7"/>
      </left>
      <right/>
      <top/>
      <bottom/>
      <diagonal/>
    </border>
    <border>
      <left/>
      <right style="medium">
        <color theme="7"/>
      </right>
      <top/>
      <bottom/>
      <diagonal/>
    </border>
    <border>
      <left style="medium">
        <color theme="7"/>
      </left>
      <right/>
      <top/>
      <bottom style="medium">
        <color theme="7"/>
      </bottom>
      <diagonal/>
    </border>
    <border>
      <left/>
      <right/>
      <top/>
      <bottom style="medium">
        <color theme="7"/>
      </bottom>
      <diagonal/>
    </border>
    <border>
      <left/>
      <right style="medium">
        <color theme="7"/>
      </right>
      <top/>
      <bottom style="medium">
        <color theme="7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9">
    <xf numFmtId="0" fontId="0" fillId="0" borderId="0" xfId="0"/>
    <xf numFmtId="164" fontId="0" fillId="0" borderId="0" xfId="0" applyNumberFormat="1"/>
    <xf numFmtId="2" fontId="0" fillId="0" borderId="0" xfId="0" applyNumberFormat="1"/>
    <xf numFmtId="0" fontId="16" fillId="33" borderId="10" xfId="0" applyFont="1" applyFill="1" applyBorder="1"/>
    <xf numFmtId="0" fontId="16" fillId="33" borderId="11" xfId="0" applyFont="1" applyFill="1" applyBorder="1"/>
    <xf numFmtId="0" fontId="0" fillId="0" borderId="12" xfId="0" applyBorder="1"/>
    <xf numFmtId="0" fontId="0" fillId="0" borderId="0" xfId="0" applyBorder="1"/>
    <xf numFmtId="165" fontId="0" fillId="0" borderId="0" xfId="0" applyNumberFormat="1" applyBorder="1"/>
    <xf numFmtId="2" fontId="0" fillId="0" borderId="0" xfId="0" applyNumberFormat="1" applyBorder="1"/>
    <xf numFmtId="0" fontId="0" fillId="0" borderId="13" xfId="0" applyBorder="1"/>
    <xf numFmtId="0" fontId="0" fillId="0" borderId="14" xfId="0" applyBorder="1"/>
    <xf numFmtId="165" fontId="0" fillId="0" borderId="14" xfId="0" applyNumberFormat="1" applyBorder="1"/>
    <xf numFmtId="2" fontId="0" fillId="0" borderId="14" xfId="0" applyNumberFormat="1" applyBorder="1"/>
    <xf numFmtId="2" fontId="0" fillId="0" borderId="15" xfId="0" applyNumberFormat="1" applyBorder="1"/>
    <xf numFmtId="0" fontId="16" fillId="34" borderId="16" xfId="0" applyFont="1" applyFill="1" applyBorder="1"/>
    <xf numFmtId="0" fontId="16" fillId="34" borderId="17" xfId="0" applyFont="1" applyFill="1" applyBorder="1"/>
    <xf numFmtId="0" fontId="16" fillId="34" borderId="18" xfId="0" applyFont="1" applyFill="1" applyBorder="1"/>
    <xf numFmtId="164" fontId="0" fillId="0" borderId="19" xfId="0" applyNumberFormat="1" applyBorder="1"/>
    <xf numFmtId="2" fontId="0" fillId="0" borderId="20" xfId="0" applyNumberFormat="1" applyBorder="1"/>
    <xf numFmtId="164" fontId="0" fillId="0" borderId="21" xfId="0" applyNumberFormat="1" applyBorder="1"/>
    <xf numFmtId="0" fontId="0" fillId="0" borderId="22" xfId="0" applyBorder="1"/>
    <xf numFmtId="2" fontId="0" fillId="0" borderId="22" xfId="0" applyNumberFormat="1" applyBorder="1"/>
    <xf numFmtId="2" fontId="0" fillId="0" borderId="23" xfId="0" applyNumberFormat="1" applyBorder="1"/>
    <xf numFmtId="0" fontId="0" fillId="35" borderId="0" xfId="0" applyFill="1"/>
    <xf numFmtId="0" fontId="0" fillId="35" borderId="0" xfId="0" applyFill="1" applyAlignment="1">
      <alignment horizontal="center"/>
    </xf>
    <xf numFmtId="0" fontId="0" fillId="34" borderId="0" xfId="0" applyFill="1"/>
    <xf numFmtId="0" fontId="16" fillId="34" borderId="0" xfId="0" applyFont="1" applyFill="1"/>
    <xf numFmtId="0" fontId="18" fillId="33" borderId="0" xfId="37" applyFont="1" applyFill="1" applyAlignment="1">
      <alignment horizontal="center"/>
    </xf>
    <xf numFmtId="0" fontId="1" fillId="33" borderId="0" xfId="37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colors2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E0E07531-AA4D-46AC-96EE-1928B3487EB4}" type="doc">
      <dgm:prSet loTypeId="urn:microsoft.com/office/officeart/2005/8/layout/list1" loCatId="list" qsTypeId="urn:microsoft.com/office/officeart/2005/8/quickstyle/simple1" qsCatId="simple" csTypeId="urn:microsoft.com/office/officeart/2005/8/colors/accent1_2" csCatId="accent1" phldr="1"/>
      <dgm:spPr/>
      <dgm:t>
        <a:bodyPr/>
        <a:lstStyle/>
        <a:p>
          <a:endParaRPr lang="en-US"/>
        </a:p>
      </dgm:t>
    </dgm:pt>
    <dgm:pt modelId="{AB9CF1C2-C901-47F5-B487-FE71041D3FB2}">
      <dgm:prSet phldrT="[Text]"/>
      <dgm:spPr/>
      <dgm:t>
        <a:bodyPr/>
        <a:lstStyle/>
        <a:p>
          <a:r>
            <a:rPr lang="en-US"/>
            <a:t>WeFit benifits</a:t>
          </a:r>
        </a:p>
      </dgm:t>
    </dgm:pt>
    <dgm:pt modelId="{A867C02B-2B06-49C8-9D49-10228C4A74C1}" type="parTrans" cxnId="{AFA3E32E-28CB-462D-A708-EA6D42DA6797}">
      <dgm:prSet/>
      <dgm:spPr/>
      <dgm:t>
        <a:bodyPr/>
        <a:lstStyle/>
        <a:p>
          <a:endParaRPr lang="en-US"/>
        </a:p>
      </dgm:t>
    </dgm:pt>
    <dgm:pt modelId="{F2A34CE2-5ED7-43F8-AC38-7A1713426720}" type="sibTrans" cxnId="{AFA3E32E-28CB-462D-A708-EA6D42DA6797}">
      <dgm:prSet/>
      <dgm:spPr/>
      <dgm:t>
        <a:bodyPr/>
        <a:lstStyle/>
        <a:p>
          <a:endParaRPr lang="en-US"/>
        </a:p>
      </dgm:t>
    </dgm:pt>
    <dgm:pt modelId="{4CB58ED7-1F04-4D02-B177-01C443D1E97C}">
      <dgm:prSet phldrT="[Text]"/>
      <dgm:spPr/>
      <dgm:t>
        <a:bodyPr/>
        <a:lstStyle/>
        <a:p>
          <a:r>
            <a:rPr lang="en-US"/>
            <a:t>Track Distance</a:t>
          </a:r>
        </a:p>
      </dgm:t>
    </dgm:pt>
    <dgm:pt modelId="{0CBE9A54-B697-4664-8B9E-E4626C97AE78}" type="parTrans" cxnId="{4B5B9B01-F3FD-4D4A-82EF-15870D479920}">
      <dgm:prSet/>
      <dgm:spPr/>
      <dgm:t>
        <a:bodyPr/>
        <a:lstStyle/>
        <a:p>
          <a:endParaRPr lang="en-US"/>
        </a:p>
      </dgm:t>
    </dgm:pt>
    <dgm:pt modelId="{B18B41C9-E8C2-4D0C-BC1A-A141011CC8C4}" type="sibTrans" cxnId="{4B5B9B01-F3FD-4D4A-82EF-15870D479920}">
      <dgm:prSet/>
      <dgm:spPr/>
      <dgm:t>
        <a:bodyPr/>
        <a:lstStyle/>
        <a:p>
          <a:endParaRPr lang="en-US"/>
        </a:p>
      </dgm:t>
    </dgm:pt>
    <dgm:pt modelId="{DB1A628F-6F1C-4E4E-AC62-82F66BC0155E}">
      <dgm:prSet phldrT="[Text]"/>
      <dgm:spPr/>
      <dgm:t>
        <a:bodyPr/>
        <a:lstStyle/>
        <a:p>
          <a:r>
            <a:rPr lang="en-US"/>
            <a:t>Track Steps</a:t>
          </a:r>
        </a:p>
      </dgm:t>
    </dgm:pt>
    <dgm:pt modelId="{58C42658-458C-47B8-939C-B9CC13B7CD3B}" type="parTrans" cxnId="{9AA724E2-2CF0-47C9-B380-F8B9FBAB8B27}">
      <dgm:prSet/>
      <dgm:spPr/>
      <dgm:t>
        <a:bodyPr/>
        <a:lstStyle/>
        <a:p>
          <a:endParaRPr lang="en-US"/>
        </a:p>
      </dgm:t>
    </dgm:pt>
    <dgm:pt modelId="{16D48DB3-72F6-4FB0-9897-AC11338E1C6F}" type="sibTrans" cxnId="{9AA724E2-2CF0-47C9-B380-F8B9FBAB8B27}">
      <dgm:prSet/>
      <dgm:spPr/>
      <dgm:t>
        <a:bodyPr/>
        <a:lstStyle/>
        <a:p>
          <a:endParaRPr lang="en-US"/>
        </a:p>
      </dgm:t>
    </dgm:pt>
    <dgm:pt modelId="{5E222C80-7E2A-4704-BF56-B24EF926D943}">
      <dgm:prSet phldrT="[Text]"/>
      <dgm:spPr/>
      <dgm:t>
        <a:bodyPr/>
        <a:lstStyle/>
        <a:p>
          <a:r>
            <a:rPr lang="en-US"/>
            <a:t>Track your consistency</a:t>
          </a:r>
        </a:p>
      </dgm:t>
    </dgm:pt>
    <dgm:pt modelId="{228F5BB3-3845-41AF-9500-CC3A392AF5C4}" type="parTrans" cxnId="{00E54CD5-4EA8-4705-846F-A106E883B7C5}">
      <dgm:prSet/>
      <dgm:spPr/>
      <dgm:t>
        <a:bodyPr/>
        <a:lstStyle/>
        <a:p>
          <a:endParaRPr lang="en-US"/>
        </a:p>
      </dgm:t>
    </dgm:pt>
    <dgm:pt modelId="{92F5A058-4CA7-4D58-8174-CFE305B27807}" type="sibTrans" cxnId="{00E54CD5-4EA8-4705-846F-A106E883B7C5}">
      <dgm:prSet/>
      <dgm:spPr/>
      <dgm:t>
        <a:bodyPr/>
        <a:lstStyle/>
        <a:p>
          <a:endParaRPr lang="en-US"/>
        </a:p>
      </dgm:t>
    </dgm:pt>
    <dgm:pt modelId="{A6596580-5691-4843-8510-63F777D659CE}">
      <dgm:prSet phldrT="[Text]"/>
      <dgm:spPr/>
      <dgm:t>
        <a:bodyPr/>
        <a:lstStyle/>
        <a:p>
          <a:r>
            <a:rPr lang="en-US"/>
            <a:t>Track your colories</a:t>
          </a:r>
        </a:p>
      </dgm:t>
    </dgm:pt>
    <dgm:pt modelId="{E4FAEFF6-AFF3-43EF-AC0B-B4BE9801C6F5}" type="parTrans" cxnId="{81B4E941-0148-45B8-BF85-E6410BAC04ED}">
      <dgm:prSet/>
      <dgm:spPr/>
      <dgm:t>
        <a:bodyPr/>
        <a:lstStyle/>
        <a:p>
          <a:endParaRPr lang="en-US"/>
        </a:p>
      </dgm:t>
    </dgm:pt>
    <dgm:pt modelId="{72FE24E5-76B3-4FDF-899B-FC8216A18379}" type="sibTrans" cxnId="{81B4E941-0148-45B8-BF85-E6410BAC04ED}">
      <dgm:prSet/>
      <dgm:spPr/>
      <dgm:t>
        <a:bodyPr/>
        <a:lstStyle/>
        <a:p>
          <a:endParaRPr lang="en-US"/>
        </a:p>
      </dgm:t>
    </dgm:pt>
    <dgm:pt modelId="{E69DF424-56FD-4BAD-8F20-B9E6736B570D}">
      <dgm:prSet phldrT="[Text]" custT="1"/>
      <dgm:spPr/>
      <dgm:t>
        <a:bodyPr/>
        <a:lstStyle/>
        <a:p>
          <a:r>
            <a:rPr lang="en-US" sz="1050"/>
            <a:t>Overall Health</a:t>
          </a:r>
        </a:p>
      </dgm:t>
    </dgm:pt>
    <dgm:pt modelId="{4A18D716-D38A-4728-85C9-30E97374A3B9}" type="parTrans" cxnId="{A1DB79FE-AC5E-4162-BCD3-D6521E2E80BF}">
      <dgm:prSet/>
      <dgm:spPr/>
      <dgm:t>
        <a:bodyPr/>
        <a:lstStyle/>
        <a:p>
          <a:endParaRPr lang="en-US"/>
        </a:p>
      </dgm:t>
    </dgm:pt>
    <dgm:pt modelId="{8B86030B-1204-43CD-B8F4-D42E659CE9B0}" type="sibTrans" cxnId="{A1DB79FE-AC5E-4162-BCD3-D6521E2E80BF}">
      <dgm:prSet/>
      <dgm:spPr/>
      <dgm:t>
        <a:bodyPr/>
        <a:lstStyle/>
        <a:p>
          <a:endParaRPr lang="en-US"/>
        </a:p>
      </dgm:t>
    </dgm:pt>
    <dgm:pt modelId="{9FE6933A-07DF-439B-8E85-CC701DBB5B69}" type="pres">
      <dgm:prSet presAssocID="{E0E07531-AA4D-46AC-96EE-1928B3487EB4}" presName="linear" presStyleCnt="0">
        <dgm:presLayoutVars>
          <dgm:dir/>
          <dgm:animLvl val="lvl"/>
          <dgm:resizeHandles val="exact"/>
        </dgm:presLayoutVars>
      </dgm:prSet>
      <dgm:spPr/>
    </dgm:pt>
    <dgm:pt modelId="{D74FFFBA-1E7F-48EB-8384-D0663F8E0266}" type="pres">
      <dgm:prSet presAssocID="{AB9CF1C2-C901-47F5-B487-FE71041D3FB2}" presName="parentLin" presStyleCnt="0"/>
      <dgm:spPr/>
    </dgm:pt>
    <dgm:pt modelId="{1D768B12-1FAF-4465-A653-6AD489C519AA}" type="pres">
      <dgm:prSet presAssocID="{AB9CF1C2-C901-47F5-B487-FE71041D3FB2}" presName="parentLeftMargin" presStyleLbl="node1" presStyleIdx="0" presStyleCnt="6"/>
      <dgm:spPr/>
    </dgm:pt>
    <dgm:pt modelId="{21A46B7D-B216-4C30-BE6B-1FDC1185D141}" type="pres">
      <dgm:prSet presAssocID="{AB9CF1C2-C901-47F5-B487-FE71041D3FB2}" presName="parentText" presStyleLbl="node1" presStyleIdx="0" presStyleCnt="6" custScaleY="153572" custLinFactNeighborX="-10940" custLinFactNeighborY="-9680">
        <dgm:presLayoutVars>
          <dgm:chMax val="0"/>
          <dgm:bulletEnabled val="1"/>
        </dgm:presLayoutVars>
      </dgm:prSet>
      <dgm:spPr/>
    </dgm:pt>
    <dgm:pt modelId="{27444063-2B39-4A1C-AB29-CAB7D97374ED}" type="pres">
      <dgm:prSet presAssocID="{AB9CF1C2-C901-47F5-B487-FE71041D3FB2}" presName="negativeSpace" presStyleCnt="0"/>
      <dgm:spPr/>
    </dgm:pt>
    <dgm:pt modelId="{03B1CA44-F932-4A8E-A371-94F7173DA764}" type="pres">
      <dgm:prSet presAssocID="{AB9CF1C2-C901-47F5-B487-FE71041D3FB2}" presName="childText" presStyleLbl="conFgAcc1" presStyleIdx="0" presStyleCnt="6" custLinFactNeighborX="4098" custLinFactNeighborY="35278">
        <dgm:presLayoutVars>
          <dgm:bulletEnabled val="1"/>
        </dgm:presLayoutVars>
      </dgm:prSet>
      <dgm:spPr/>
    </dgm:pt>
    <dgm:pt modelId="{87E6DBF3-DCF0-407A-B99E-ED31EE1F2BBC}" type="pres">
      <dgm:prSet presAssocID="{F2A34CE2-5ED7-43F8-AC38-7A1713426720}" presName="spaceBetweenRectangles" presStyleCnt="0"/>
      <dgm:spPr/>
    </dgm:pt>
    <dgm:pt modelId="{73537EB5-E305-473B-A339-A21A802144CB}" type="pres">
      <dgm:prSet presAssocID="{4CB58ED7-1F04-4D02-B177-01C443D1E97C}" presName="parentLin" presStyleCnt="0"/>
      <dgm:spPr/>
    </dgm:pt>
    <dgm:pt modelId="{00D9F055-9264-4A44-BD9D-0506B61A54AD}" type="pres">
      <dgm:prSet presAssocID="{4CB58ED7-1F04-4D02-B177-01C443D1E97C}" presName="parentLeftMargin" presStyleLbl="node1" presStyleIdx="0" presStyleCnt="6"/>
      <dgm:spPr/>
    </dgm:pt>
    <dgm:pt modelId="{5221A064-B378-41B3-966A-8AF9C345F9AB}" type="pres">
      <dgm:prSet presAssocID="{4CB58ED7-1F04-4D02-B177-01C443D1E97C}" presName="parentText" presStyleLbl="node1" presStyleIdx="1" presStyleCnt="6">
        <dgm:presLayoutVars>
          <dgm:chMax val="0"/>
          <dgm:bulletEnabled val="1"/>
        </dgm:presLayoutVars>
      </dgm:prSet>
      <dgm:spPr/>
    </dgm:pt>
    <dgm:pt modelId="{5B973C22-74E9-4DF5-A052-E02AECC4356E}" type="pres">
      <dgm:prSet presAssocID="{4CB58ED7-1F04-4D02-B177-01C443D1E97C}" presName="negativeSpace" presStyleCnt="0"/>
      <dgm:spPr/>
    </dgm:pt>
    <dgm:pt modelId="{0F1F940C-90BB-46F4-9963-4837239959FE}" type="pres">
      <dgm:prSet presAssocID="{4CB58ED7-1F04-4D02-B177-01C443D1E97C}" presName="childText" presStyleLbl="conFgAcc1" presStyleIdx="1" presStyleCnt="6">
        <dgm:presLayoutVars>
          <dgm:bulletEnabled val="1"/>
        </dgm:presLayoutVars>
      </dgm:prSet>
      <dgm:spPr/>
    </dgm:pt>
    <dgm:pt modelId="{AA0B817A-C929-4848-8203-7FCF624A1EC2}" type="pres">
      <dgm:prSet presAssocID="{B18B41C9-E8C2-4D0C-BC1A-A141011CC8C4}" presName="spaceBetweenRectangles" presStyleCnt="0"/>
      <dgm:spPr/>
    </dgm:pt>
    <dgm:pt modelId="{8A4E1570-5499-4E70-A31D-5C769611463C}" type="pres">
      <dgm:prSet presAssocID="{DB1A628F-6F1C-4E4E-AC62-82F66BC0155E}" presName="parentLin" presStyleCnt="0"/>
      <dgm:spPr/>
    </dgm:pt>
    <dgm:pt modelId="{B6864713-240E-495D-AA81-C750374136B3}" type="pres">
      <dgm:prSet presAssocID="{DB1A628F-6F1C-4E4E-AC62-82F66BC0155E}" presName="parentLeftMargin" presStyleLbl="node1" presStyleIdx="1" presStyleCnt="6"/>
      <dgm:spPr/>
    </dgm:pt>
    <dgm:pt modelId="{B94FDDE4-4D2E-4C54-9011-F21FC7171872}" type="pres">
      <dgm:prSet presAssocID="{DB1A628F-6F1C-4E4E-AC62-82F66BC0155E}" presName="parentText" presStyleLbl="node1" presStyleIdx="2" presStyleCnt="6">
        <dgm:presLayoutVars>
          <dgm:chMax val="0"/>
          <dgm:bulletEnabled val="1"/>
        </dgm:presLayoutVars>
      </dgm:prSet>
      <dgm:spPr/>
    </dgm:pt>
    <dgm:pt modelId="{A387F3B9-3202-4D6B-82DA-BC775AB166FA}" type="pres">
      <dgm:prSet presAssocID="{DB1A628F-6F1C-4E4E-AC62-82F66BC0155E}" presName="negativeSpace" presStyleCnt="0"/>
      <dgm:spPr/>
    </dgm:pt>
    <dgm:pt modelId="{5A5785D8-0872-4A05-B804-D62E5D401BDB}" type="pres">
      <dgm:prSet presAssocID="{DB1A628F-6F1C-4E4E-AC62-82F66BC0155E}" presName="childText" presStyleLbl="conFgAcc1" presStyleIdx="2" presStyleCnt="6">
        <dgm:presLayoutVars>
          <dgm:bulletEnabled val="1"/>
        </dgm:presLayoutVars>
      </dgm:prSet>
      <dgm:spPr/>
    </dgm:pt>
    <dgm:pt modelId="{37CAD575-460E-43BE-BEF2-B6AC6355474F}" type="pres">
      <dgm:prSet presAssocID="{16D48DB3-72F6-4FB0-9897-AC11338E1C6F}" presName="spaceBetweenRectangles" presStyleCnt="0"/>
      <dgm:spPr/>
    </dgm:pt>
    <dgm:pt modelId="{5BA850C1-423D-43D8-B239-0995E1278673}" type="pres">
      <dgm:prSet presAssocID="{5E222C80-7E2A-4704-BF56-B24EF926D943}" presName="parentLin" presStyleCnt="0"/>
      <dgm:spPr/>
    </dgm:pt>
    <dgm:pt modelId="{041CF8EE-BAFD-4339-B982-438C91F6A9A7}" type="pres">
      <dgm:prSet presAssocID="{5E222C80-7E2A-4704-BF56-B24EF926D943}" presName="parentLeftMargin" presStyleLbl="node1" presStyleIdx="2" presStyleCnt="6"/>
      <dgm:spPr/>
    </dgm:pt>
    <dgm:pt modelId="{C198486F-A821-493E-B8D8-D75F3B7A620D}" type="pres">
      <dgm:prSet presAssocID="{5E222C80-7E2A-4704-BF56-B24EF926D943}" presName="parentText" presStyleLbl="node1" presStyleIdx="3" presStyleCnt="6">
        <dgm:presLayoutVars>
          <dgm:chMax val="0"/>
          <dgm:bulletEnabled val="1"/>
        </dgm:presLayoutVars>
      </dgm:prSet>
      <dgm:spPr/>
    </dgm:pt>
    <dgm:pt modelId="{F81B1378-02D2-43B7-AB9C-A60E572C3902}" type="pres">
      <dgm:prSet presAssocID="{5E222C80-7E2A-4704-BF56-B24EF926D943}" presName="negativeSpace" presStyleCnt="0"/>
      <dgm:spPr/>
    </dgm:pt>
    <dgm:pt modelId="{C6130624-A2EE-4EBA-A700-892B64618AD7}" type="pres">
      <dgm:prSet presAssocID="{5E222C80-7E2A-4704-BF56-B24EF926D943}" presName="childText" presStyleLbl="conFgAcc1" presStyleIdx="3" presStyleCnt="6">
        <dgm:presLayoutVars>
          <dgm:bulletEnabled val="1"/>
        </dgm:presLayoutVars>
      </dgm:prSet>
      <dgm:spPr/>
    </dgm:pt>
    <dgm:pt modelId="{45305A1A-7B19-4566-9A82-6160E093667D}" type="pres">
      <dgm:prSet presAssocID="{92F5A058-4CA7-4D58-8174-CFE305B27807}" presName="spaceBetweenRectangles" presStyleCnt="0"/>
      <dgm:spPr/>
    </dgm:pt>
    <dgm:pt modelId="{13B5C4E9-97DE-4111-B308-F2BE1C9A35A7}" type="pres">
      <dgm:prSet presAssocID="{A6596580-5691-4843-8510-63F777D659CE}" presName="parentLin" presStyleCnt="0"/>
      <dgm:spPr/>
    </dgm:pt>
    <dgm:pt modelId="{730975D1-189D-41CA-88BC-39FB5E197AD7}" type="pres">
      <dgm:prSet presAssocID="{A6596580-5691-4843-8510-63F777D659CE}" presName="parentLeftMargin" presStyleLbl="node1" presStyleIdx="3" presStyleCnt="6"/>
      <dgm:spPr/>
    </dgm:pt>
    <dgm:pt modelId="{BF70731B-24EA-4F11-913C-65ED52E7BDFB}" type="pres">
      <dgm:prSet presAssocID="{A6596580-5691-4843-8510-63F777D659CE}" presName="parentText" presStyleLbl="node1" presStyleIdx="4" presStyleCnt="6">
        <dgm:presLayoutVars>
          <dgm:chMax val="0"/>
          <dgm:bulletEnabled val="1"/>
        </dgm:presLayoutVars>
      </dgm:prSet>
      <dgm:spPr/>
    </dgm:pt>
    <dgm:pt modelId="{7B658F74-44B5-4BF5-91A7-D5C2EA4A0028}" type="pres">
      <dgm:prSet presAssocID="{A6596580-5691-4843-8510-63F777D659CE}" presName="negativeSpace" presStyleCnt="0"/>
      <dgm:spPr/>
    </dgm:pt>
    <dgm:pt modelId="{AE0C77DC-9AF7-4B87-A077-675E061B576F}" type="pres">
      <dgm:prSet presAssocID="{A6596580-5691-4843-8510-63F777D659CE}" presName="childText" presStyleLbl="conFgAcc1" presStyleIdx="4" presStyleCnt="6">
        <dgm:presLayoutVars>
          <dgm:bulletEnabled val="1"/>
        </dgm:presLayoutVars>
      </dgm:prSet>
      <dgm:spPr/>
    </dgm:pt>
    <dgm:pt modelId="{BBAE1E68-D691-43E2-B29E-5A5B5C7EE88E}" type="pres">
      <dgm:prSet presAssocID="{72FE24E5-76B3-4FDF-899B-FC8216A18379}" presName="spaceBetweenRectangles" presStyleCnt="0"/>
      <dgm:spPr/>
    </dgm:pt>
    <dgm:pt modelId="{7A2AFB79-0D55-405A-BE47-AB3D6665F0F2}" type="pres">
      <dgm:prSet presAssocID="{E69DF424-56FD-4BAD-8F20-B9E6736B570D}" presName="parentLin" presStyleCnt="0"/>
      <dgm:spPr/>
    </dgm:pt>
    <dgm:pt modelId="{B87725E5-FF01-4C8F-BFB8-437CE86454BF}" type="pres">
      <dgm:prSet presAssocID="{E69DF424-56FD-4BAD-8F20-B9E6736B570D}" presName="parentLeftMargin" presStyleLbl="node1" presStyleIdx="4" presStyleCnt="6"/>
      <dgm:spPr/>
    </dgm:pt>
    <dgm:pt modelId="{B003C1B7-0FE4-46EF-80CB-E596BB9610C0}" type="pres">
      <dgm:prSet presAssocID="{E69DF424-56FD-4BAD-8F20-B9E6736B570D}" presName="parentText" presStyleLbl="node1" presStyleIdx="5" presStyleCnt="6" custScaleY="92757">
        <dgm:presLayoutVars>
          <dgm:chMax val="0"/>
          <dgm:bulletEnabled val="1"/>
        </dgm:presLayoutVars>
      </dgm:prSet>
      <dgm:spPr/>
    </dgm:pt>
    <dgm:pt modelId="{1A6F26A1-5598-4D62-910E-CF43E468C27E}" type="pres">
      <dgm:prSet presAssocID="{E69DF424-56FD-4BAD-8F20-B9E6736B570D}" presName="negativeSpace" presStyleCnt="0"/>
      <dgm:spPr/>
    </dgm:pt>
    <dgm:pt modelId="{EA1A3EF5-EC32-46C3-8B98-554AE13F63B7}" type="pres">
      <dgm:prSet presAssocID="{E69DF424-56FD-4BAD-8F20-B9E6736B570D}" presName="childText" presStyleLbl="conFgAcc1" presStyleIdx="5" presStyleCnt="6">
        <dgm:presLayoutVars>
          <dgm:bulletEnabled val="1"/>
        </dgm:presLayoutVars>
      </dgm:prSet>
      <dgm:spPr/>
    </dgm:pt>
  </dgm:ptLst>
  <dgm:cxnLst>
    <dgm:cxn modelId="{4B5B9B01-F3FD-4D4A-82EF-15870D479920}" srcId="{E0E07531-AA4D-46AC-96EE-1928B3487EB4}" destId="{4CB58ED7-1F04-4D02-B177-01C443D1E97C}" srcOrd="1" destOrd="0" parTransId="{0CBE9A54-B697-4664-8B9E-E4626C97AE78}" sibTransId="{B18B41C9-E8C2-4D0C-BC1A-A141011CC8C4}"/>
    <dgm:cxn modelId="{800CE006-750E-44F4-88C4-7CB309817E51}" type="presOf" srcId="{DB1A628F-6F1C-4E4E-AC62-82F66BC0155E}" destId="{B94FDDE4-4D2E-4C54-9011-F21FC7171872}" srcOrd="1" destOrd="0" presId="urn:microsoft.com/office/officeart/2005/8/layout/list1"/>
    <dgm:cxn modelId="{1AA74307-44BA-4727-A587-3F63129F27F6}" type="presOf" srcId="{E0E07531-AA4D-46AC-96EE-1928B3487EB4}" destId="{9FE6933A-07DF-439B-8E85-CC701DBB5B69}" srcOrd="0" destOrd="0" presId="urn:microsoft.com/office/officeart/2005/8/layout/list1"/>
    <dgm:cxn modelId="{CA93991D-CD97-4051-8CD6-76120370BCBD}" type="presOf" srcId="{4CB58ED7-1F04-4D02-B177-01C443D1E97C}" destId="{00D9F055-9264-4A44-BD9D-0506B61A54AD}" srcOrd="0" destOrd="0" presId="urn:microsoft.com/office/officeart/2005/8/layout/list1"/>
    <dgm:cxn modelId="{AF90E523-33FD-4CD3-AA9F-10F6F2AC785A}" type="presOf" srcId="{AB9CF1C2-C901-47F5-B487-FE71041D3FB2}" destId="{1D768B12-1FAF-4465-A653-6AD489C519AA}" srcOrd="0" destOrd="0" presId="urn:microsoft.com/office/officeart/2005/8/layout/list1"/>
    <dgm:cxn modelId="{EF996929-4189-420E-B989-33FD00D95DFF}" type="presOf" srcId="{A6596580-5691-4843-8510-63F777D659CE}" destId="{730975D1-189D-41CA-88BC-39FB5E197AD7}" srcOrd="0" destOrd="0" presId="urn:microsoft.com/office/officeart/2005/8/layout/list1"/>
    <dgm:cxn modelId="{1134662A-6BD9-43A5-B1D1-FE0C6F7D955A}" type="presOf" srcId="{5E222C80-7E2A-4704-BF56-B24EF926D943}" destId="{C198486F-A821-493E-B8D8-D75F3B7A620D}" srcOrd="1" destOrd="0" presId="urn:microsoft.com/office/officeart/2005/8/layout/list1"/>
    <dgm:cxn modelId="{AFA3E32E-28CB-462D-A708-EA6D42DA6797}" srcId="{E0E07531-AA4D-46AC-96EE-1928B3487EB4}" destId="{AB9CF1C2-C901-47F5-B487-FE71041D3FB2}" srcOrd="0" destOrd="0" parTransId="{A867C02B-2B06-49C8-9D49-10228C4A74C1}" sibTransId="{F2A34CE2-5ED7-43F8-AC38-7A1713426720}"/>
    <dgm:cxn modelId="{81B4E941-0148-45B8-BF85-E6410BAC04ED}" srcId="{E0E07531-AA4D-46AC-96EE-1928B3487EB4}" destId="{A6596580-5691-4843-8510-63F777D659CE}" srcOrd="4" destOrd="0" parTransId="{E4FAEFF6-AFF3-43EF-AC0B-B4BE9801C6F5}" sibTransId="{72FE24E5-76B3-4FDF-899B-FC8216A18379}"/>
    <dgm:cxn modelId="{3CD21458-7E29-4A32-B76E-2501CB51FD9D}" type="presOf" srcId="{E69DF424-56FD-4BAD-8F20-B9E6736B570D}" destId="{B003C1B7-0FE4-46EF-80CB-E596BB9610C0}" srcOrd="1" destOrd="0" presId="urn:microsoft.com/office/officeart/2005/8/layout/list1"/>
    <dgm:cxn modelId="{21A15DA1-4C96-437A-A6D7-EBA56FFC8BE6}" type="presOf" srcId="{A6596580-5691-4843-8510-63F777D659CE}" destId="{BF70731B-24EA-4F11-913C-65ED52E7BDFB}" srcOrd="1" destOrd="0" presId="urn:microsoft.com/office/officeart/2005/8/layout/list1"/>
    <dgm:cxn modelId="{F5980BC4-E30E-4DEA-920A-1A66DB23E0C3}" type="presOf" srcId="{4CB58ED7-1F04-4D02-B177-01C443D1E97C}" destId="{5221A064-B378-41B3-966A-8AF9C345F9AB}" srcOrd="1" destOrd="0" presId="urn:microsoft.com/office/officeart/2005/8/layout/list1"/>
    <dgm:cxn modelId="{784E55CD-D226-4882-A78A-AE49BC942AF7}" type="presOf" srcId="{E69DF424-56FD-4BAD-8F20-B9E6736B570D}" destId="{B87725E5-FF01-4C8F-BFB8-437CE86454BF}" srcOrd="0" destOrd="0" presId="urn:microsoft.com/office/officeart/2005/8/layout/list1"/>
    <dgm:cxn modelId="{00E54CD5-4EA8-4705-846F-A106E883B7C5}" srcId="{E0E07531-AA4D-46AC-96EE-1928B3487EB4}" destId="{5E222C80-7E2A-4704-BF56-B24EF926D943}" srcOrd="3" destOrd="0" parTransId="{228F5BB3-3845-41AF-9500-CC3A392AF5C4}" sibTransId="{92F5A058-4CA7-4D58-8174-CFE305B27807}"/>
    <dgm:cxn modelId="{3E6C02E0-2252-48EF-B67B-0C559DE0C957}" type="presOf" srcId="{DB1A628F-6F1C-4E4E-AC62-82F66BC0155E}" destId="{B6864713-240E-495D-AA81-C750374136B3}" srcOrd="0" destOrd="0" presId="urn:microsoft.com/office/officeart/2005/8/layout/list1"/>
    <dgm:cxn modelId="{9AA724E2-2CF0-47C9-B380-F8B9FBAB8B27}" srcId="{E0E07531-AA4D-46AC-96EE-1928B3487EB4}" destId="{DB1A628F-6F1C-4E4E-AC62-82F66BC0155E}" srcOrd="2" destOrd="0" parTransId="{58C42658-458C-47B8-939C-B9CC13B7CD3B}" sibTransId="{16D48DB3-72F6-4FB0-9897-AC11338E1C6F}"/>
    <dgm:cxn modelId="{063384E6-7BFA-46A6-9598-915FF3E2F210}" type="presOf" srcId="{AB9CF1C2-C901-47F5-B487-FE71041D3FB2}" destId="{21A46B7D-B216-4C30-BE6B-1FDC1185D141}" srcOrd="1" destOrd="0" presId="urn:microsoft.com/office/officeart/2005/8/layout/list1"/>
    <dgm:cxn modelId="{5CB70BF2-44D5-496F-89AE-0C102D5A354A}" type="presOf" srcId="{5E222C80-7E2A-4704-BF56-B24EF926D943}" destId="{041CF8EE-BAFD-4339-B982-438C91F6A9A7}" srcOrd="0" destOrd="0" presId="urn:microsoft.com/office/officeart/2005/8/layout/list1"/>
    <dgm:cxn modelId="{A1DB79FE-AC5E-4162-BCD3-D6521E2E80BF}" srcId="{E0E07531-AA4D-46AC-96EE-1928B3487EB4}" destId="{E69DF424-56FD-4BAD-8F20-B9E6736B570D}" srcOrd="5" destOrd="0" parTransId="{4A18D716-D38A-4728-85C9-30E97374A3B9}" sibTransId="{8B86030B-1204-43CD-B8F4-D42E659CE9B0}"/>
    <dgm:cxn modelId="{205A17F7-8688-40E0-869E-9B08CD0D3C61}" type="presParOf" srcId="{9FE6933A-07DF-439B-8E85-CC701DBB5B69}" destId="{D74FFFBA-1E7F-48EB-8384-D0663F8E0266}" srcOrd="0" destOrd="0" presId="urn:microsoft.com/office/officeart/2005/8/layout/list1"/>
    <dgm:cxn modelId="{507CC7B3-3B16-4411-B6AE-9FEC2271D233}" type="presParOf" srcId="{D74FFFBA-1E7F-48EB-8384-D0663F8E0266}" destId="{1D768B12-1FAF-4465-A653-6AD489C519AA}" srcOrd="0" destOrd="0" presId="urn:microsoft.com/office/officeart/2005/8/layout/list1"/>
    <dgm:cxn modelId="{B6C3E425-29AF-4878-A382-4DB5BB911DC6}" type="presParOf" srcId="{D74FFFBA-1E7F-48EB-8384-D0663F8E0266}" destId="{21A46B7D-B216-4C30-BE6B-1FDC1185D141}" srcOrd="1" destOrd="0" presId="urn:microsoft.com/office/officeart/2005/8/layout/list1"/>
    <dgm:cxn modelId="{1AF62573-D54B-4440-9F53-4C9E386A3325}" type="presParOf" srcId="{9FE6933A-07DF-439B-8E85-CC701DBB5B69}" destId="{27444063-2B39-4A1C-AB29-CAB7D97374ED}" srcOrd="1" destOrd="0" presId="urn:microsoft.com/office/officeart/2005/8/layout/list1"/>
    <dgm:cxn modelId="{C680D1A4-6477-452C-8D5B-71B52BA1F607}" type="presParOf" srcId="{9FE6933A-07DF-439B-8E85-CC701DBB5B69}" destId="{03B1CA44-F932-4A8E-A371-94F7173DA764}" srcOrd="2" destOrd="0" presId="urn:microsoft.com/office/officeart/2005/8/layout/list1"/>
    <dgm:cxn modelId="{6159F450-989B-406D-ACF0-BD3A8852E95E}" type="presParOf" srcId="{9FE6933A-07DF-439B-8E85-CC701DBB5B69}" destId="{87E6DBF3-DCF0-407A-B99E-ED31EE1F2BBC}" srcOrd="3" destOrd="0" presId="urn:microsoft.com/office/officeart/2005/8/layout/list1"/>
    <dgm:cxn modelId="{5BCA434E-192E-4354-9C03-B540CC40BADB}" type="presParOf" srcId="{9FE6933A-07DF-439B-8E85-CC701DBB5B69}" destId="{73537EB5-E305-473B-A339-A21A802144CB}" srcOrd="4" destOrd="0" presId="urn:microsoft.com/office/officeart/2005/8/layout/list1"/>
    <dgm:cxn modelId="{B521B488-D63C-46D8-9A21-4CF1A3D8B3D3}" type="presParOf" srcId="{73537EB5-E305-473B-A339-A21A802144CB}" destId="{00D9F055-9264-4A44-BD9D-0506B61A54AD}" srcOrd="0" destOrd="0" presId="urn:microsoft.com/office/officeart/2005/8/layout/list1"/>
    <dgm:cxn modelId="{27EEA107-04E9-4F40-86C0-5AFED26C20F7}" type="presParOf" srcId="{73537EB5-E305-473B-A339-A21A802144CB}" destId="{5221A064-B378-41B3-966A-8AF9C345F9AB}" srcOrd="1" destOrd="0" presId="urn:microsoft.com/office/officeart/2005/8/layout/list1"/>
    <dgm:cxn modelId="{CE33F1D1-DBE6-43A9-B4E3-885D1C834294}" type="presParOf" srcId="{9FE6933A-07DF-439B-8E85-CC701DBB5B69}" destId="{5B973C22-74E9-4DF5-A052-E02AECC4356E}" srcOrd="5" destOrd="0" presId="urn:microsoft.com/office/officeart/2005/8/layout/list1"/>
    <dgm:cxn modelId="{A4A5D7E1-E183-43F3-A34E-8BBBF9A3FA29}" type="presParOf" srcId="{9FE6933A-07DF-439B-8E85-CC701DBB5B69}" destId="{0F1F940C-90BB-46F4-9963-4837239959FE}" srcOrd="6" destOrd="0" presId="urn:microsoft.com/office/officeart/2005/8/layout/list1"/>
    <dgm:cxn modelId="{806B0036-8E43-4A3E-BFD6-49D85B08F8E8}" type="presParOf" srcId="{9FE6933A-07DF-439B-8E85-CC701DBB5B69}" destId="{AA0B817A-C929-4848-8203-7FCF624A1EC2}" srcOrd="7" destOrd="0" presId="urn:microsoft.com/office/officeart/2005/8/layout/list1"/>
    <dgm:cxn modelId="{D9C2389C-D595-48E2-AC3B-34D0E607D78F}" type="presParOf" srcId="{9FE6933A-07DF-439B-8E85-CC701DBB5B69}" destId="{8A4E1570-5499-4E70-A31D-5C769611463C}" srcOrd="8" destOrd="0" presId="urn:microsoft.com/office/officeart/2005/8/layout/list1"/>
    <dgm:cxn modelId="{405C2852-BF76-493D-B8EE-A2484F8356CB}" type="presParOf" srcId="{8A4E1570-5499-4E70-A31D-5C769611463C}" destId="{B6864713-240E-495D-AA81-C750374136B3}" srcOrd="0" destOrd="0" presId="urn:microsoft.com/office/officeart/2005/8/layout/list1"/>
    <dgm:cxn modelId="{E9E285CA-3224-43A8-937A-08B262D4751B}" type="presParOf" srcId="{8A4E1570-5499-4E70-A31D-5C769611463C}" destId="{B94FDDE4-4D2E-4C54-9011-F21FC7171872}" srcOrd="1" destOrd="0" presId="urn:microsoft.com/office/officeart/2005/8/layout/list1"/>
    <dgm:cxn modelId="{D550DC4D-6414-4864-ACF3-761B900B8C04}" type="presParOf" srcId="{9FE6933A-07DF-439B-8E85-CC701DBB5B69}" destId="{A387F3B9-3202-4D6B-82DA-BC775AB166FA}" srcOrd="9" destOrd="0" presId="urn:microsoft.com/office/officeart/2005/8/layout/list1"/>
    <dgm:cxn modelId="{91E3A8BC-65A0-469F-BE46-07FFCB02573D}" type="presParOf" srcId="{9FE6933A-07DF-439B-8E85-CC701DBB5B69}" destId="{5A5785D8-0872-4A05-B804-D62E5D401BDB}" srcOrd="10" destOrd="0" presId="urn:microsoft.com/office/officeart/2005/8/layout/list1"/>
    <dgm:cxn modelId="{84BBD3CB-46B9-4AD7-9A98-26D91495EC7E}" type="presParOf" srcId="{9FE6933A-07DF-439B-8E85-CC701DBB5B69}" destId="{37CAD575-460E-43BE-BEF2-B6AC6355474F}" srcOrd="11" destOrd="0" presId="urn:microsoft.com/office/officeart/2005/8/layout/list1"/>
    <dgm:cxn modelId="{066AC91B-9A11-4621-9DC3-8E70412548CE}" type="presParOf" srcId="{9FE6933A-07DF-439B-8E85-CC701DBB5B69}" destId="{5BA850C1-423D-43D8-B239-0995E1278673}" srcOrd="12" destOrd="0" presId="urn:microsoft.com/office/officeart/2005/8/layout/list1"/>
    <dgm:cxn modelId="{2E7C1D25-685F-4AE2-83F0-7FF564363757}" type="presParOf" srcId="{5BA850C1-423D-43D8-B239-0995E1278673}" destId="{041CF8EE-BAFD-4339-B982-438C91F6A9A7}" srcOrd="0" destOrd="0" presId="urn:microsoft.com/office/officeart/2005/8/layout/list1"/>
    <dgm:cxn modelId="{DEA03374-1247-4E91-86E2-28145C83915B}" type="presParOf" srcId="{5BA850C1-423D-43D8-B239-0995E1278673}" destId="{C198486F-A821-493E-B8D8-D75F3B7A620D}" srcOrd="1" destOrd="0" presId="urn:microsoft.com/office/officeart/2005/8/layout/list1"/>
    <dgm:cxn modelId="{2A8B4DEC-7E37-4345-B5C5-050B190173FF}" type="presParOf" srcId="{9FE6933A-07DF-439B-8E85-CC701DBB5B69}" destId="{F81B1378-02D2-43B7-AB9C-A60E572C3902}" srcOrd="13" destOrd="0" presId="urn:microsoft.com/office/officeart/2005/8/layout/list1"/>
    <dgm:cxn modelId="{F426CF7D-EDA9-4867-BC47-090EAAA17A6B}" type="presParOf" srcId="{9FE6933A-07DF-439B-8E85-CC701DBB5B69}" destId="{C6130624-A2EE-4EBA-A700-892B64618AD7}" srcOrd="14" destOrd="0" presId="urn:microsoft.com/office/officeart/2005/8/layout/list1"/>
    <dgm:cxn modelId="{94799001-6F71-49FE-B3F0-74C3C045EC17}" type="presParOf" srcId="{9FE6933A-07DF-439B-8E85-CC701DBB5B69}" destId="{45305A1A-7B19-4566-9A82-6160E093667D}" srcOrd="15" destOrd="0" presId="urn:microsoft.com/office/officeart/2005/8/layout/list1"/>
    <dgm:cxn modelId="{A409F998-1333-4373-993B-406F00E31D65}" type="presParOf" srcId="{9FE6933A-07DF-439B-8E85-CC701DBB5B69}" destId="{13B5C4E9-97DE-4111-B308-F2BE1C9A35A7}" srcOrd="16" destOrd="0" presId="urn:microsoft.com/office/officeart/2005/8/layout/list1"/>
    <dgm:cxn modelId="{7B820BFF-16A1-4D40-B0ED-A7789C04B27B}" type="presParOf" srcId="{13B5C4E9-97DE-4111-B308-F2BE1C9A35A7}" destId="{730975D1-189D-41CA-88BC-39FB5E197AD7}" srcOrd="0" destOrd="0" presId="urn:microsoft.com/office/officeart/2005/8/layout/list1"/>
    <dgm:cxn modelId="{19987E31-941E-41A0-8F16-8DE5ADA779D9}" type="presParOf" srcId="{13B5C4E9-97DE-4111-B308-F2BE1C9A35A7}" destId="{BF70731B-24EA-4F11-913C-65ED52E7BDFB}" srcOrd="1" destOrd="0" presId="urn:microsoft.com/office/officeart/2005/8/layout/list1"/>
    <dgm:cxn modelId="{73AC802F-7E27-428A-9578-1D4CF541C13F}" type="presParOf" srcId="{9FE6933A-07DF-439B-8E85-CC701DBB5B69}" destId="{7B658F74-44B5-4BF5-91A7-D5C2EA4A0028}" srcOrd="17" destOrd="0" presId="urn:microsoft.com/office/officeart/2005/8/layout/list1"/>
    <dgm:cxn modelId="{1CF03722-0E28-45E7-A4FD-C355D7BBE2F8}" type="presParOf" srcId="{9FE6933A-07DF-439B-8E85-CC701DBB5B69}" destId="{AE0C77DC-9AF7-4B87-A077-675E061B576F}" srcOrd="18" destOrd="0" presId="urn:microsoft.com/office/officeart/2005/8/layout/list1"/>
    <dgm:cxn modelId="{FDA8F257-0F14-4FD3-AEDF-92080A5B6C68}" type="presParOf" srcId="{9FE6933A-07DF-439B-8E85-CC701DBB5B69}" destId="{BBAE1E68-D691-43E2-B29E-5A5B5C7EE88E}" srcOrd="19" destOrd="0" presId="urn:microsoft.com/office/officeart/2005/8/layout/list1"/>
    <dgm:cxn modelId="{48FDFE72-B75E-4DFD-ACAD-6D9F3B6F8AFE}" type="presParOf" srcId="{9FE6933A-07DF-439B-8E85-CC701DBB5B69}" destId="{7A2AFB79-0D55-405A-BE47-AB3D6665F0F2}" srcOrd="20" destOrd="0" presId="urn:microsoft.com/office/officeart/2005/8/layout/list1"/>
    <dgm:cxn modelId="{AE54F295-354E-4531-8339-C14E3137A851}" type="presParOf" srcId="{7A2AFB79-0D55-405A-BE47-AB3D6665F0F2}" destId="{B87725E5-FF01-4C8F-BFB8-437CE86454BF}" srcOrd="0" destOrd="0" presId="urn:microsoft.com/office/officeart/2005/8/layout/list1"/>
    <dgm:cxn modelId="{2B21AAEB-7D67-42DE-9459-481EB8E7A91F}" type="presParOf" srcId="{7A2AFB79-0D55-405A-BE47-AB3D6665F0F2}" destId="{B003C1B7-0FE4-46EF-80CB-E596BB9610C0}" srcOrd="1" destOrd="0" presId="urn:microsoft.com/office/officeart/2005/8/layout/list1"/>
    <dgm:cxn modelId="{60B5F2C2-44D4-4516-AB51-56DD6FE9A639}" type="presParOf" srcId="{9FE6933A-07DF-439B-8E85-CC701DBB5B69}" destId="{1A6F26A1-5598-4D62-910E-CF43E468C27E}" srcOrd="21" destOrd="0" presId="urn:microsoft.com/office/officeart/2005/8/layout/list1"/>
    <dgm:cxn modelId="{D098B41F-C56B-4699-A97F-8CCCD3122216}" type="presParOf" srcId="{9FE6933A-07DF-439B-8E85-CC701DBB5B69}" destId="{EA1A3EF5-EC32-46C3-8B98-554AE13F63B7}" srcOrd="22" destOrd="0" presId="urn:microsoft.com/office/officeart/2005/8/layout/list1"/>
  </dgm:cxnLst>
  <dgm:bg/>
  <dgm:whole/>
  <dgm:extLst>
    <a:ext uri="http://schemas.microsoft.com/office/drawing/2008/diagram">
      <dsp:dataModelExt xmlns:dsp="http://schemas.microsoft.com/office/drawing/2008/diagram" relId="rId9" minVer="http://schemas.openxmlformats.org/drawingml/2006/diagram"/>
    </a:ext>
  </dgm:extLst>
</dgm:dataModel>
</file>

<file path=xl/diagrams/data2.xml><?xml version="1.0" encoding="utf-8"?>
<dgm:dataModel xmlns:dgm="http://schemas.openxmlformats.org/drawingml/2006/diagram" xmlns:a="http://schemas.openxmlformats.org/drawingml/2006/main">
  <dgm:ptLst>
    <dgm:pt modelId="{86B3100C-ED2D-429A-8EE1-FD1F7FE0B000}" type="doc">
      <dgm:prSet loTypeId="urn:microsoft.com/office/officeart/2005/8/layout/pList1" loCatId="list" qsTypeId="urn:microsoft.com/office/officeart/2005/8/quickstyle/simple1" qsCatId="simple" csTypeId="urn:microsoft.com/office/officeart/2005/8/colors/accent1_2" csCatId="accent1" phldr="0"/>
      <dgm:spPr/>
      <dgm:t>
        <a:bodyPr/>
        <a:lstStyle/>
        <a:p>
          <a:endParaRPr lang="en-US"/>
        </a:p>
      </dgm:t>
    </dgm:pt>
    <dgm:pt modelId="{05B42C95-E63F-4FA7-A397-95A9B0537C83}" type="pres">
      <dgm:prSet presAssocID="{86B3100C-ED2D-429A-8EE1-FD1F7FE0B000}" presName="Name0" presStyleCnt="0">
        <dgm:presLayoutVars>
          <dgm:dir/>
          <dgm:resizeHandles val="exact"/>
        </dgm:presLayoutVars>
      </dgm:prSet>
      <dgm:spPr/>
    </dgm:pt>
  </dgm:ptLst>
  <dgm:cxnLst>
    <dgm:cxn modelId="{2469DBC8-00C2-481A-91F1-1E7930EFE57D}" type="presOf" srcId="{86B3100C-ED2D-429A-8EE1-FD1F7FE0B000}" destId="{05B42C95-E63F-4FA7-A397-95A9B0537C83}" srcOrd="0" destOrd="0" presId="urn:microsoft.com/office/officeart/2005/8/layout/pList1"/>
  </dgm:cxnLst>
  <dgm:bg/>
  <dgm:whole/>
  <dgm:extLst>
    <a:ext uri="http://schemas.microsoft.com/office/drawing/2008/diagram">
      <dsp:dataModelExt xmlns:dsp="http://schemas.microsoft.com/office/drawing/2008/diagram" relId="rId18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3B1CA44-F932-4A8E-A371-94F7173DA764}">
      <dsp:nvSpPr>
        <dsp:cNvPr id="0" name=""/>
        <dsp:cNvSpPr/>
      </dsp:nvSpPr>
      <dsp:spPr>
        <a:xfrm>
          <a:off x="0" y="351363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21A46B7D-B216-4C30-BE6B-1FDC1185D141}">
      <dsp:nvSpPr>
        <dsp:cNvPr id="0" name=""/>
        <dsp:cNvSpPr/>
      </dsp:nvSpPr>
      <dsp:spPr>
        <a:xfrm>
          <a:off x="155086" y="0"/>
          <a:ext cx="2437921" cy="453344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WeFit benifits</a:t>
          </a:r>
        </a:p>
      </dsp:txBody>
      <dsp:txXfrm>
        <a:off x="177216" y="22130"/>
        <a:ext cx="2393661" cy="409084"/>
      </dsp:txXfrm>
    </dsp:sp>
    <dsp:sp modelId="{0F1F940C-90BB-46F4-9963-4837239959FE}">
      <dsp:nvSpPr>
        <dsp:cNvPr id="0" name=""/>
        <dsp:cNvSpPr/>
      </dsp:nvSpPr>
      <dsp:spPr>
        <a:xfrm>
          <a:off x="0" y="785913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5221A064-B378-41B3-966A-8AF9C345F9AB}">
      <dsp:nvSpPr>
        <dsp:cNvPr id="0" name=""/>
        <dsp:cNvSpPr/>
      </dsp:nvSpPr>
      <dsp:spPr>
        <a:xfrm>
          <a:off x="174307" y="638313"/>
          <a:ext cx="2440305" cy="2952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Track Distance</a:t>
          </a:r>
        </a:p>
      </dsp:txBody>
      <dsp:txXfrm>
        <a:off x="188717" y="652723"/>
        <a:ext cx="2411485" cy="266380"/>
      </dsp:txXfrm>
    </dsp:sp>
    <dsp:sp modelId="{5A5785D8-0872-4A05-B804-D62E5D401BDB}">
      <dsp:nvSpPr>
        <dsp:cNvPr id="0" name=""/>
        <dsp:cNvSpPr/>
      </dsp:nvSpPr>
      <dsp:spPr>
        <a:xfrm>
          <a:off x="0" y="1239513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94FDDE4-4D2E-4C54-9011-F21FC7171872}">
      <dsp:nvSpPr>
        <dsp:cNvPr id="0" name=""/>
        <dsp:cNvSpPr/>
      </dsp:nvSpPr>
      <dsp:spPr>
        <a:xfrm>
          <a:off x="174307" y="1091913"/>
          <a:ext cx="2440305" cy="2952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Track Steps</a:t>
          </a:r>
        </a:p>
      </dsp:txBody>
      <dsp:txXfrm>
        <a:off x="188717" y="1106323"/>
        <a:ext cx="2411485" cy="266380"/>
      </dsp:txXfrm>
    </dsp:sp>
    <dsp:sp modelId="{C6130624-A2EE-4EBA-A700-892B64618AD7}">
      <dsp:nvSpPr>
        <dsp:cNvPr id="0" name=""/>
        <dsp:cNvSpPr/>
      </dsp:nvSpPr>
      <dsp:spPr>
        <a:xfrm>
          <a:off x="0" y="1693113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C198486F-A821-493E-B8D8-D75F3B7A620D}">
      <dsp:nvSpPr>
        <dsp:cNvPr id="0" name=""/>
        <dsp:cNvSpPr/>
      </dsp:nvSpPr>
      <dsp:spPr>
        <a:xfrm>
          <a:off x="174307" y="1545513"/>
          <a:ext cx="2440305" cy="2952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Track your consistency</a:t>
          </a:r>
        </a:p>
      </dsp:txBody>
      <dsp:txXfrm>
        <a:off x="188717" y="1559923"/>
        <a:ext cx="2411485" cy="266380"/>
      </dsp:txXfrm>
    </dsp:sp>
    <dsp:sp modelId="{AE0C77DC-9AF7-4B87-A077-675E061B576F}">
      <dsp:nvSpPr>
        <dsp:cNvPr id="0" name=""/>
        <dsp:cNvSpPr/>
      </dsp:nvSpPr>
      <dsp:spPr>
        <a:xfrm>
          <a:off x="0" y="2146713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F70731B-24EA-4F11-913C-65ED52E7BDFB}">
      <dsp:nvSpPr>
        <dsp:cNvPr id="0" name=""/>
        <dsp:cNvSpPr/>
      </dsp:nvSpPr>
      <dsp:spPr>
        <a:xfrm>
          <a:off x="174307" y="1999113"/>
          <a:ext cx="2440305" cy="29520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445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00" kern="1200"/>
            <a:t>Track your colories</a:t>
          </a:r>
        </a:p>
      </dsp:txBody>
      <dsp:txXfrm>
        <a:off x="188717" y="2013523"/>
        <a:ext cx="2411485" cy="266380"/>
      </dsp:txXfrm>
    </dsp:sp>
    <dsp:sp modelId="{EA1A3EF5-EC32-46C3-8B98-554AE13F63B7}">
      <dsp:nvSpPr>
        <dsp:cNvPr id="0" name=""/>
        <dsp:cNvSpPr/>
      </dsp:nvSpPr>
      <dsp:spPr>
        <a:xfrm>
          <a:off x="0" y="2578932"/>
          <a:ext cx="3486150" cy="252000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accen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B003C1B7-0FE4-46EF-80CB-E596BB9610C0}">
      <dsp:nvSpPr>
        <dsp:cNvPr id="0" name=""/>
        <dsp:cNvSpPr/>
      </dsp:nvSpPr>
      <dsp:spPr>
        <a:xfrm>
          <a:off x="174307" y="2452713"/>
          <a:ext cx="2440305" cy="273818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270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92238" tIns="0" rIns="92238" bIns="0" numCol="1" spcCol="1270" anchor="ctr" anchorCtr="0">
          <a:noAutofit/>
        </a:bodyPr>
        <a:lstStyle/>
        <a:p>
          <a:pPr marL="0" lvl="0" indent="0" algn="l" defTabSz="466725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n-US" sz="1050" kern="1200"/>
            <a:t>Overall Health</a:t>
          </a:r>
        </a:p>
      </dsp:txBody>
      <dsp:txXfrm>
        <a:off x="187674" y="2466080"/>
        <a:ext cx="2413571" cy="247084"/>
      </dsp:txXfrm>
    </dsp:sp>
  </dsp:spTree>
</dsp:drawing>
</file>

<file path=xl/diagrams/drawing2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list1">
  <dgm:title val=""/>
  <dgm:desc val=""/>
  <dgm:catLst>
    <dgm:cat type="list" pri="40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</dgm:ptLst>
      <dgm:cxnLst>
        <dgm:cxn modelId="4" srcId="0" destId="1" srcOrd="0" destOrd="0"/>
        <dgm:cxn modelId="5" srcId="0" destId="2" srcOrd="1" destOrd="0"/>
        <dgm:cxn modelId="6" srcId="0" destId="3" srcOrd="2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4" srcId="0" destId="1" srcOrd="0" destOrd="0"/>
        <dgm:cxn modelId="5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linear">
    <dgm:varLst>
      <dgm:dir/>
      <dgm:animLvl val="lvl"/>
      <dgm:resizeHandles val="exact"/>
    </dgm:varLst>
    <dgm:choose name="Name0">
      <dgm:if name="Name1" func="var" arg="dir" op="equ" val="norm">
        <dgm:alg type="lin">
          <dgm:param type="linDir" val="fromT"/>
          <dgm:param type="vertAlign" val="mid"/>
          <dgm:param type="horzAlign" val="l"/>
          <dgm:param type="nodeHorzAlign" val="l"/>
        </dgm:alg>
      </dgm:if>
      <dgm:else name="Name2">
        <dgm:alg type="lin">
          <dgm:param type="linDir" val="fromT"/>
          <dgm:param type="vertAlign" val="mid"/>
          <dgm:param type="horzAlign" val="r"/>
          <dgm:param type="nodeHorzAlign" val="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parentLin" refType="w"/>
      <dgm:constr type="h" for="ch" forName="parentLin" val="INF"/>
      <dgm:constr type="w" for="des" forName="parentLeftMargin" refType="w" fact="0.05"/>
      <dgm:constr type="w" for="des" forName="parentText" refType="w" fact="0.7"/>
      <dgm:constr type="h" for="des" forName="parentText" refType="primFontSz" refFor="des" refForName="parentText" fact="0.82"/>
      <dgm:constr type="h" for="ch" forName="negativeSpace" refType="primFontSz" refFor="des" refForName="parentText" fact="-0.41"/>
      <dgm:constr type="h" for="ch" forName="negativeSpace" refType="h" refFor="des" refForName="parentText" op="lte" fact="-0.82"/>
      <dgm:constr type="h" for="ch" forName="negativeSpace" refType="h" refFor="des" refForName="parentText" op="gte" fact="-0.82"/>
      <dgm:constr type="w" for="ch" forName="childText" refType="w"/>
      <dgm:constr type="h" for="ch" forName="childText" refType="primFontSz" refFor="des" refForName="parentText" fact="0.7"/>
      <dgm:constr type="primFontSz" for="des" forName="parentText" val="65"/>
      <dgm:constr type="primFontSz" for="ch" forName="childText" refType="primFontSz" refFor="des" refForName="parentText"/>
      <dgm:constr type="tMarg" for="ch" forName="childText" refType="primFontSz" refFor="des" refForName="parentText" fact="1.64"/>
      <dgm:constr type="tMarg" for="ch" forName="childText" refType="h" refFor="des" refForName="parentText" op="lte" fact="3.28"/>
      <dgm:constr type="tMarg" for="ch" forName="childText" refType="h" refFor="des" refForName="parentText" op="gte" fact="3.28"/>
      <dgm:constr type="lMarg" for="ch" forName="childText" refType="w" fact="0.22"/>
      <dgm:constr type="rMarg" for="ch" forName="childText" refType="lMarg" refFor="ch" refForName="childText"/>
      <dgm:constr type="lMarg" for="des" forName="parentText" refType="w" fact="0.075"/>
      <dgm:constr type="rMarg" for="des" forName="parentText" refType="lMarg" refFor="des" refForName="parentText"/>
      <dgm:constr type="h" for="ch" forName="spaceBetweenRectangles" refType="primFontSz" refFor="des" refForName="parentText" fact="0.15"/>
    </dgm:constrLst>
    <dgm:ruleLst>
      <dgm:rule type="primFontSz" for="des" forName="parentText" val="5" fact="NaN" max="NaN"/>
    </dgm:ruleLst>
    <dgm:forEach name="Name3" axis="ch" ptType="node">
      <dgm:layoutNode name="parentLin">
        <dgm:choose name="Name4">
          <dgm:if name="Name5" func="var" arg="dir" op="equ" val="norm">
            <dgm:alg type="lin">
              <dgm:param type="linDir" val="fromL"/>
              <dgm:param type="horzAlign" val="l"/>
              <dgm:param type="nodeHorzAlign" val="l"/>
            </dgm:alg>
          </dgm:if>
          <dgm:else name="Name6">
            <dgm:alg type="lin">
              <dgm:param type="linDir" val="fromR"/>
              <dgm:param type="horzAlign" val="r"/>
              <dgm:param type="nodeHorzAlign" val="r"/>
            </dgm:alg>
          </dgm:else>
        </dgm:choose>
        <dgm:shape xmlns:r="http://schemas.openxmlformats.org/officeDocument/2006/relationships" r:blip="">
          <dgm:adjLst/>
        </dgm:shape>
        <dgm:presOf/>
        <dgm:constrLst/>
        <dgm:ruleLst/>
        <dgm:layoutNode name="parentLeftMargin">
          <dgm:alg type="sp"/>
          <dgm:shape xmlns:r="http://schemas.openxmlformats.org/officeDocument/2006/relationships" type="rect" r:blip="" hideGeom="1">
            <dgm:adjLst/>
          </dgm:shape>
          <dgm:presOf axis="self"/>
          <dgm:constrLst>
            <dgm:constr type="h"/>
          </dgm:constrLst>
          <dgm:ruleLst/>
        </dgm:layoutNode>
        <dgm:layoutNode name="parentText" styleLbl="node1">
          <dgm:varLst>
            <dgm:chMax val="0"/>
            <dgm:bulletEnabled val="1"/>
          </dgm:varLst>
          <dgm:choose name="Name7">
            <dgm:if name="Name8" func="var" arg="dir" op="equ" val="norm">
              <dgm:alg type="tx">
                <dgm:param type="parTxLTRAlign" val="l"/>
                <dgm:param type="parTxRTLAlign" val="l"/>
              </dgm:alg>
            </dgm:if>
            <dgm:else name="Name9">
              <dgm:alg type="tx">
                <dgm:param type="parTxLTRAlign" val="r"/>
                <dgm:param type="parTxRTLAlign" val="r"/>
              </dgm:alg>
            </dgm:else>
          </dgm:choose>
          <dgm:shape xmlns:r="http://schemas.openxmlformats.org/officeDocument/2006/relationships" type="roundRect" r:blip="">
            <dgm:adjLst/>
          </dgm:shape>
          <dgm:presOf axis="self" ptType="node"/>
          <dgm:constrLst>
            <dgm:constr type="tMarg"/>
            <dgm:constr type="bMarg"/>
          </dgm:constrLst>
          <dgm:ruleLst/>
        </dgm:layoutNode>
      </dgm:layoutNode>
      <dgm:layoutNode name="negativeSpace">
        <dgm:alg type="sp"/>
        <dgm:shape xmlns:r="http://schemas.openxmlformats.org/officeDocument/2006/relationships" r:blip="">
          <dgm:adjLst/>
        </dgm:shape>
        <dgm:presOf/>
        <dgm:constrLst/>
        <dgm:ruleLst/>
      </dgm:layoutNode>
      <dgm:layoutNode name="childText" styleLbl="conFgAcc1">
        <dgm:varLst>
          <dgm:bulletEnabled val="1"/>
        </dgm:varLst>
        <dgm:alg type="tx">
          <dgm:param type="stBulletLvl" val="1"/>
        </dgm:alg>
        <dgm:shape xmlns:r="http://schemas.openxmlformats.org/officeDocument/2006/relationships" type="rect" r:blip="" zOrderOff="-2">
          <dgm:adjLst/>
        </dgm:shape>
        <dgm:presOf axis="des" ptType="node"/>
        <dgm:constrLst>
          <dgm:constr type="secFontSz" refType="primFontSz"/>
        </dgm:constrLst>
        <dgm:ruleLst>
          <dgm:rule type="h" val="INF" fact="NaN" max="NaN"/>
        </dgm:ruleLst>
      </dgm:layoutNode>
      <dgm:forEach name="Name10" axis="followSib" ptType="sibTrans" cnt="1">
        <dgm:layoutNode name="spaceBetweenRectangles">
          <dgm:alg type="sp"/>
          <dgm:shape xmlns:r="http://schemas.openxmlformats.org/officeDocument/2006/relationships" r:blip="">
            <dgm:adjLst/>
          </dgm:shape>
          <dgm:presOf/>
          <dgm:constrLst/>
          <dgm:ruleLst/>
        </dgm:layoutNode>
      </dgm:forEach>
    </dgm:forEach>
  </dgm:layoutNode>
</dgm:layoutDef>
</file>

<file path=xl/diagrams/layout2.xml><?xml version="1.0" encoding="utf-8"?>
<dgm:layoutDef xmlns:dgm="http://schemas.openxmlformats.org/drawingml/2006/diagram" xmlns:a="http://schemas.openxmlformats.org/drawingml/2006/main" uniqueId="urn:microsoft.com/office/officeart/2005/8/layout/pList1">
  <dgm:title val=""/>
  <dgm:desc val=""/>
  <dgm:catLst>
    <dgm:cat type="list" pri="2000"/>
    <dgm:cat type="picture" pri="2500"/>
    <dgm:cat type="pictureconvert" pri="2500"/>
  </dgm:catLst>
  <dgm:sampData>
    <dgm:dataModel>
      <dgm:ptLst>
        <dgm:pt modelId="0" type="doc"/>
        <dgm:pt modelId="1">
          <dgm:prSet phldr="1"/>
        </dgm:pt>
        <dgm:pt modelId="2">
          <dgm:prSet phldr="1"/>
        </dgm:pt>
        <dgm:pt modelId="3">
          <dgm:prSet phldr="1"/>
        </dgm:pt>
        <dgm:pt modelId="4">
          <dgm:prSet phldr="1"/>
        </dgm:pt>
      </dgm:ptLst>
      <dgm:cxnLst>
        <dgm:cxn modelId="7" srcId="0" destId="1" srcOrd="0" destOrd="0"/>
        <dgm:cxn modelId="8" srcId="0" destId="2" srcOrd="1" destOrd="0"/>
        <dgm:cxn modelId="9" srcId="0" destId="3" srcOrd="2" destOrd="0"/>
        <dgm:cxn modelId="10" srcId="0" destId="4" srcOrd="3" destOrd="0"/>
      </dgm:cxnLst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 useDef="1">
    <dgm:dataModel>
      <dgm:ptLst/>
      <dgm:bg/>
      <dgm:whole/>
    </dgm:dataModel>
  </dgm:clrData>
  <dgm:layoutNode name="Name0">
    <dgm:varLst>
      <dgm:dir/>
      <dgm:resizeHandles val="exact"/>
    </dgm:varLst>
    <dgm:choose name="Name1">
      <dgm:if name="Name2" axis="self" func="var" arg="dir" op="equ" val="norm">
        <dgm:alg type="snake">
          <dgm:param type="grDir" val="tL"/>
          <dgm:param type="flowDir" val="row"/>
          <dgm:param type="contDir" val="sameDir"/>
          <dgm:param type="off" val="ctr"/>
          <dgm:param type="vertAlign" val="mid"/>
          <dgm:param type="horzAlign" val="ctr"/>
        </dgm:alg>
      </dgm:if>
      <dgm:else name="Name3">
        <dgm:alg type="snake">
          <dgm:param type="grDir" val="tR"/>
          <dgm:param type="flowDir" val="row"/>
          <dgm:param type="contDir" val="sameDir"/>
          <dgm:param type="off" val="ctr"/>
          <dgm:param type="vertAlign" val="mid"/>
          <dgm:param type="horzAlign" val="ctr"/>
        </dgm:alg>
      </dgm:else>
    </dgm:choose>
    <dgm:shape xmlns:r="http://schemas.openxmlformats.org/officeDocument/2006/relationships" r:blip="">
      <dgm:adjLst/>
    </dgm:shape>
    <dgm:presOf/>
    <dgm:constrLst>
      <dgm:constr type="w" for="ch" forName="compNode" refType="w"/>
      <dgm:constr type="w" for="ch" ptType="sibTrans" refType="w" refFor="ch" refForName="compNode" op="equ" fact="0.1"/>
      <dgm:constr type="sp" refType="w" refFor="ch" refForName="compNode" op="equ" fact="0.1"/>
      <dgm:constr type="primFontSz" for="des" ptType="node" op="equ" val="65"/>
    </dgm:constrLst>
    <dgm:ruleLst/>
    <dgm:forEach name="Name4" axis="ch" ptType="node">
      <dgm:layoutNode name="compNode">
        <dgm:alg type="composite">
          <dgm:param type="ar" val="0.943"/>
        </dgm:alg>
        <dgm:shape xmlns:r="http://schemas.openxmlformats.org/officeDocument/2006/relationships" r:blip="">
          <dgm:adjLst/>
        </dgm:shape>
        <dgm:presOf axis="self"/>
        <dgm:constrLst>
          <dgm:constr type="h" refType="w" fact="1.06"/>
          <dgm:constr type="h" for="ch" forName="pictRect" refType="h" fact="0.65"/>
          <dgm:constr type="w" for="ch" forName="pictRect" refType="w"/>
          <dgm:constr type="l" for="ch" forName="pictRect"/>
          <dgm:constr type="t" for="ch" forName="pictRect"/>
          <dgm:constr type="w" for="ch" forName="textRect" refType="w"/>
          <dgm:constr type="h" for="ch" forName="textRect" refType="h" fact="0.35"/>
          <dgm:constr type="l" for="ch" forName="textRect"/>
          <dgm:constr type="t" for="ch" forName="textRect" refType="b" refFor="ch" refForName="pictRect"/>
        </dgm:constrLst>
        <dgm:ruleLst/>
        <dgm:layoutNode name="pictRect">
          <dgm:alg type="sp"/>
          <dgm:shape xmlns:r="http://schemas.openxmlformats.org/officeDocument/2006/relationships" type="roundRect" r:blip="" blipPhldr="1">
            <dgm:adjLst/>
          </dgm:shape>
          <dgm:presOf/>
          <dgm:constrLst/>
          <dgm:ruleLst/>
        </dgm:layoutNode>
        <dgm:layoutNode name="textRect" styleLbl="revTx">
          <dgm:varLst>
            <dgm:bulletEnabled val="1"/>
          </dgm:varLst>
          <dgm:alg type="tx">
            <dgm:param type="txAnchorVert" val="t"/>
          </dgm:alg>
          <dgm:shape xmlns:r="http://schemas.openxmlformats.org/officeDocument/2006/relationships" type="rect" r:blip="">
            <dgm:adjLst/>
          </dgm:shape>
          <dgm:presOf axis="desOrSelf" ptType="node"/>
          <dgm:constrLst>
            <dgm:constr type="bMarg"/>
          </dgm:constrLst>
          <dgm:ruleLst>
            <dgm:rule type="primFontSz" val="5" fact="NaN" max="NaN"/>
          </dgm:ruleLst>
        </dgm:layoutNode>
      </dgm:layoutNode>
      <dgm:forEach name="Name5" axis="followSib" ptType="sibTrans" cnt="1">
        <dgm:layoutNode name="sibTrans">
          <dgm:alg type="sp"/>
          <dgm:shape xmlns:r="http://schemas.openxmlformats.org/officeDocument/2006/relationships" type="rect" r:blip="" hideGeom="1">
            <dgm:adjLst/>
          </dgm:shape>
          <dgm:presOf axis="self"/>
          <dgm:constrLst/>
          <dgm:ruleLst/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iagrams/quickStyle2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diagramColors" Target="../diagrams/colors1.xml"/><Relationship Id="rId13" Type="http://schemas.openxmlformats.org/officeDocument/2006/relationships/image" Target="../media/image8.svg"/><Relationship Id="rId18" Type="http://schemas.microsoft.com/office/2007/relationships/diagramDrawing" Target="../diagrams/drawing2.xml"/><Relationship Id="rId3" Type="http://schemas.openxmlformats.org/officeDocument/2006/relationships/image" Target="../media/image3.png"/><Relationship Id="rId7" Type="http://schemas.openxmlformats.org/officeDocument/2006/relationships/diagramQuickStyle" Target="../diagrams/quickStyle1.xml"/><Relationship Id="rId12" Type="http://schemas.openxmlformats.org/officeDocument/2006/relationships/image" Target="../media/image7.png"/><Relationship Id="rId17" Type="http://schemas.openxmlformats.org/officeDocument/2006/relationships/diagramColors" Target="../diagrams/colors2.xml"/><Relationship Id="rId2" Type="http://schemas.openxmlformats.org/officeDocument/2006/relationships/image" Target="../media/image2.png"/><Relationship Id="rId16" Type="http://schemas.openxmlformats.org/officeDocument/2006/relationships/diagramQuickStyle" Target="../diagrams/quickStyle2.xml"/><Relationship Id="rId1" Type="http://schemas.openxmlformats.org/officeDocument/2006/relationships/image" Target="../media/image1.png"/><Relationship Id="rId6" Type="http://schemas.openxmlformats.org/officeDocument/2006/relationships/diagramLayout" Target="../diagrams/layout1.xml"/><Relationship Id="rId11" Type="http://schemas.openxmlformats.org/officeDocument/2006/relationships/image" Target="../media/image6.tmp"/><Relationship Id="rId5" Type="http://schemas.openxmlformats.org/officeDocument/2006/relationships/diagramData" Target="../diagrams/data1.xml"/><Relationship Id="rId15" Type="http://schemas.openxmlformats.org/officeDocument/2006/relationships/diagramLayout" Target="../diagrams/layout2.xml"/><Relationship Id="rId10" Type="http://schemas.openxmlformats.org/officeDocument/2006/relationships/image" Target="../media/image5.tmp"/><Relationship Id="rId4" Type="http://schemas.openxmlformats.org/officeDocument/2006/relationships/image" Target="../media/image4.png"/><Relationship Id="rId9" Type="http://schemas.microsoft.com/office/2007/relationships/diagramDrawing" Target="../diagrams/drawing1.xml"/><Relationship Id="rId14" Type="http://schemas.openxmlformats.org/officeDocument/2006/relationships/diagramData" Target="../diagrams/data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295275</xdr:colOff>
      <xdr:row>6</xdr:row>
      <xdr:rowOff>152400</xdr:rowOff>
    </xdr:from>
    <xdr:to>
      <xdr:col>17</xdr:col>
      <xdr:colOff>390921</xdr:colOff>
      <xdr:row>21</xdr:row>
      <xdr:rowOff>38338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40CAE5A-DF75-49B0-97ED-37B29F14B4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67650" y="1295400"/>
          <a:ext cx="4572396" cy="2743438"/>
        </a:xfrm>
        <a:prstGeom prst="rect">
          <a:avLst/>
        </a:prstGeom>
      </xdr:spPr>
    </xdr:pic>
    <xdr:clientData/>
  </xdr:twoCellAnchor>
  <xdr:twoCellAnchor editAs="oneCell">
    <xdr:from>
      <xdr:col>0</xdr:col>
      <xdr:colOff>85725</xdr:colOff>
      <xdr:row>9</xdr:row>
      <xdr:rowOff>66676</xdr:rowOff>
    </xdr:from>
    <xdr:to>
      <xdr:col>5</xdr:col>
      <xdr:colOff>523875</xdr:colOff>
      <xdr:row>22</xdr:row>
      <xdr:rowOff>161925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227C-6EE8-41EB-B68A-F44DF8A64B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" y="1781176"/>
          <a:ext cx="3609975" cy="2571749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35</xdr:row>
      <xdr:rowOff>19050</xdr:rowOff>
    </xdr:from>
    <xdr:to>
      <xdr:col>7</xdr:col>
      <xdr:colOff>279289</xdr:colOff>
      <xdr:row>49</xdr:row>
      <xdr:rowOff>107681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4E6399-10E0-4E81-9E7A-D6A1E5CDF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33375" y="6686550"/>
          <a:ext cx="4584589" cy="2755631"/>
        </a:xfrm>
        <a:prstGeom prst="rect">
          <a:avLst/>
        </a:prstGeom>
      </xdr:spPr>
    </xdr:pic>
    <xdr:clientData/>
  </xdr:twoCellAnchor>
  <xdr:twoCellAnchor editAs="oneCell">
    <xdr:from>
      <xdr:col>9</xdr:col>
      <xdr:colOff>561975</xdr:colOff>
      <xdr:row>21</xdr:row>
      <xdr:rowOff>190499</xdr:rowOff>
    </xdr:from>
    <xdr:to>
      <xdr:col>17</xdr:col>
      <xdr:colOff>361951</xdr:colOff>
      <xdr:row>39</xdr:row>
      <xdr:rowOff>165296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F0CB8BB-13A6-4234-951E-B3ACF6376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667500" y="4190999"/>
          <a:ext cx="5743576" cy="3403797"/>
        </a:xfrm>
        <a:prstGeom prst="rect">
          <a:avLst/>
        </a:prstGeom>
      </xdr:spPr>
    </xdr:pic>
    <xdr:clientData/>
  </xdr:twoCellAnchor>
  <xdr:twoCellAnchor>
    <xdr:from>
      <xdr:col>6</xdr:col>
      <xdr:colOff>66675</xdr:colOff>
      <xdr:row>4</xdr:row>
      <xdr:rowOff>161924</xdr:rowOff>
    </xdr:from>
    <xdr:to>
      <xdr:col>10</xdr:col>
      <xdr:colOff>619125</xdr:colOff>
      <xdr:row>19</xdr:row>
      <xdr:rowOff>161925</xdr:rowOff>
    </xdr:to>
    <xdr:graphicFrame macro="">
      <xdr:nvGraphicFramePr>
        <xdr:cNvPr id="15" name="Diagram 14">
          <a:extLst>
            <a:ext uri="{FF2B5EF4-FFF2-40B4-BE49-F238E27FC236}">
              <a16:creationId xmlns:a16="http://schemas.microsoft.com/office/drawing/2014/main" id="{36931C95-F9B8-42AB-AD4C-80C0050D76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5" r:lo="rId6" r:qs="rId7" r:cs="rId8"/>
        </a:graphicData>
      </a:graphic>
    </xdr:graphicFrame>
    <xdr:clientData/>
  </xdr:twoCellAnchor>
  <xdr:twoCellAnchor>
    <xdr:from>
      <xdr:col>13</xdr:col>
      <xdr:colOff>114300</xdr:colOff>
      <xdr:row>0</xdr:row>
      <xdr:rowOff>95250</xdr:rowOff>
    </xdr:from>
    <xdr:to>
      <xdr:col>14</xdr:col>
      <xdr:colOff>752475</xdr:colOff>
      <xdr:row>6</xdr:row>
      <xdr:rowOff>123825</xdr:rowOff>
    </xdr:to>
    <xdr:sp macro="" textlink="">
      <xdr:nvSpPr>
        <xdr:cNvPr id="16" name="Cross 15">
          <a:extLst>
            <a:ext uri="{FF2B5EF4-FFF2-40B4-BE49-F238E27FC236}">
              <a16:creationId xmlns:a16="http://schemas.microsoft.com/office/drawing/2014/main" id="{8C40D09A-CD78-4EE1-8A74-6DCDFDC458E4}"/>
            </a:ext>
          </a:extLst>
        </xdr:cNvPr>
        <xdr:cNvSpPr/>
      </xdr:nvSpPr>
      <xdr:spPr>
        <a:xfrm>
          <a:off x="9153525" y="95250"/>
          <a:ext cx="1438275" cy="1171575"/>
        </a:xfrm>
        <a:prstGeom prst="plus">
          <a:avLst/>
        </a:prstGeom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i="1" u="sng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End to End</a:t>
          </a:r>
        </a:p>
        <a:p>
          <a:pPr algn="ctr"/>
          <a:r>
            <a:rPr lang="en-US" sz="1100" i="1" u="sng">
              <a:solidFill>
                <a:schemeClr val="bg2">
                  <a:lumMod val="1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Experience</a:t>
          </a:r>
        </a:p>
      </xdr:txBody>
    </xdr:sp>
    <xdr:clientData/>
  </xdr:twoCellAnchor>
  <xdr:twoCellAnchor editAs="oneCell">
    <xdr:from>
      <xdr:col>0</xdr:col>
      <xdr:colOff>0</xdr:colOff>
      <xdr:row>0</xdr:row>
      <xdr:rowOff>1</xdr:rowOff>
    </xdr:from>
    <xdr:to>
      <xdr:col>3</xdr:col>
      <xdr:colOff>409887</xdr:colOff>
      <xdr:row>10</xdr:row>
      <xdr:rowOff>152401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4044007-2363-4AF2-990B-5CE4BC84C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2238687" cy="2057400"/>
        </a:xfrm>
        <a:prstGeom prst="rect">
          <a:avLst/>
        </a:prstGeom>
      </xdr:spPr>
    </xdr:pic>
    <xdr:clientData/>
  </xdr:twoCellAnchor>
  <xdr:twoCellAnchor editAs="oneCell">
    <xdr:from>
      <xdr:col>0</xdr:col>
      <xdr:colOff>219075</xdr:colOff>
      <xdr:row>23</xdr:row>
      <xdr:rowOff>95249</xdr:rowOff>
    </xdr:from>
    <xdr:to>
      <xdr:col>5</xdr:col>
      <xdr:colOff>86200</xdr:colOff>
      <xdr:row>34</xdr:row>
      <xdr:rowOff>105106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47743E7-F235-4D30-8E34-B163A6081E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4476749"/>
          <a:ext cx="3038950" cy="2105357"/>
        </a:xfrm>
        <a:prstGeom prst="rect">
          <a:avLst/>
        </a:prstGeom>
      </xdr:spPr>
    </xdr:pic>
    <xdr:clientData/>
  </xdr:twoCellAnchor>
  <xdr:twoCellAnchor>
    <xdr:from>
      <xdr:col>8</xdr:col>
      <xdr:colOff>66675</xdr:colOff>
      <xdr:row>27</xdr:row>
      <xdr:rowOff>95250</xdr:rowOff>
    </xdr:from>
    <xdr:to>
      <xdr:col>9</xdr:col>
      <xdr:colOff>381000</xdr:colOff>
      <xdr:row>30</xdr:row>
      <xdr:rowOff>171450</xdr:rowOff>
    </xdr:to>
    <xdr:sp macro="" textlink="">
      <xdr:nvSpPr>
        <xdr:cNvPr id="21" name="Arrow: Right 20">
          <a:extLst>
            <a:ext uri="{FF2B5EF4-FFF2-40B4-BE49-F238E27FC236}">
              <a16:creationId xmlns:a16="http://schemas.microsoft.com/office/drawing/2014/main" id="{9E652F31-A6B4-493A-A292-E965FCFC323D}"/>
            </a:ext>
          </a:extLst>
        </xdr:cNvPr>
        <xdr:cNvSpPr/>
      </xdr:nvSpPr>
      <xdr:spPr>
        <a:xfrm>
          <a:off x="5438775" y="5238750"/>
          <a:ext cx="1047750" cy="647700"/>
        </a:xfrm>
        <a:prstGeom prst="rightArrow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 editAs="oneCell">
    <xdr:from>
      <xdr:col>5</xdr:col>
      <xdr:colOff>723900</xdr:colOff>
      <xdr:row>26</xdr:row>
      <xdr:rowOff>85725</xdr:rowOff>
    </xdr:from>
    <xdr:to>
      <xdr:col>7</xdr:col>
      <xdr:colOff>171450</xdr:colOff>
      <xdr:row>31</xdr:row>
      <xdr:rowOff>47625</xdr:rowOff>
    </xdr:to>
    <xdr:pic>
      <xdr:nvPicPr>
        <xdr:cNvPr id="23" name="Graphic 22" descr="Body builder">
          <a:extLst>
            <a:ext uri="{FF2B5EF4-FFF2-40B4-BE49-F238E27FC236}">
              <a16:creationId xmlns:a16="http://schemas.microsoft.com/office/drawing/2014/main" id="{28972435-3924-479D-B6E8-BCA155DBE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3895725" y="5038725"/>
          <a:ext cx="914400" cy="914400"/>
        </a:xfrm>
        <a:prstGeom prst="rect">
          <a:avLst/>
        </a:prstGeom>
      </xdr:spPr>
    </xdr:pic>
    <xdr:clientData/>
  </xdr:twoCellAnchor>
  <xdr:twoCellAnchor>
    <xdr:from>
      <xdr:col>6</xdr:col>
      <xdr:colOff>85725</xdr:colOff>
      <xdr:row>4</xdr:row>
      <xdr:rowOff>33337</xdr:rowOff>
    </xdr:from>
    <xdr:to>
      <xdr:col>12</xdr:col>
      <xdr:colOff>257175</xdr:colOff>
      <xdr:row>18</xdr:row>
      <xdr:rowOff>109537</xdr:rowOff>
    </xdr:to>
    <xdr:graphicFrame macro="">
      <xdr:nvGraphicFramePr>
        <xdr:cNvPr id="24" name="Diagram 23">
          <a:extLst>
            <a:ext uri="{FF2B5EF4-FFF2-40B4-BE49-F238E27FC236}">
              <a16:creationId xmlns:a16="http://schemas.microsoft.com/office/drawing/2014/main" id="{454F6970-7782-4EE3-8C38-05319C0A85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4" r:lo="rId15" r:qs="rId16" r:cs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941"/>
  <sheetViews>
    <sheetView tabSelected="1" topLeftCell="I1" workbookViewId="0">
      <selection activeCell="Q11" sqref="Q11"/>
    </sheetView>
  </sheetViews>
  <sheetFormatPr defaultRowHeight="15" x14ac:dyDescent="0.25"/>
  <cols>
    <col min="1" max="1" width="11" hidden="1" customWidth="1"/>
    <col min="2" max="2" width="11.85546875" style="1" hidden="1" customWidth="1"/>
    <col min="3" max="3" width="10.28515625" hidden="1" customWidth="1"/>
    <col min="4" max="4" width="13.140625" hidden="1" customWidth="1"/>
    <col min="5" max="5" width="18.28515625" hidden="1" customWidth="1"/>
    <col min="6" max="6" width="19" hidden="1" customWidth="1"/>
    <col min="7" max="7" width="20" hidden="1" customWidth="1"/>
    <col min="8" max="8" width="8.140625" hidden="1" customWidth="1"/>
    <col min="9" max="10" width="11" bestFit="1" customWidth="1"/>
    <col min="11" max="11" width="13.85546875" bestFit="1" customWidth="1"/>
    <col min="12" max="12" width="6.140625" bestFit="1" customWidth="1"/>
    <col min="13" max="13" width="14.85546875" bestFit="1" customWidth="1"/>
    <col min="14" max="14" width="10.7109375" bestFit="1" customWidth="1"/>
    <col min="15" max="15" width="13.140625" bestFit="1" customWidth="1"/>
    <col min="16" max="16" width="26" bestFit="1" customWidth="1"/>
    <col min="17" max="17" width="26.7109375" bestFit="1" customWidth="1"/>
    <col min="18" max="18" width="27.7109375" bestFit="1" customWidth="1"/>
    <col min="19" max="19" width="45.85546875" bestFit="1" customWidth="1"/>
    <col min="20" max="20" width="5.140625" bestFit="1" customWidth="1"/>
    <col min="21" max="21" width="7.140625" customWidth="1"/>
    <col min="22" max="22" width="6.140625" bestFit="1" customWidth="1"/>
    <col min="23" max="23" width="10.7109375" customWidth="1"/>
    <col min="24" max="24" width="10.7109375" bestFit="1" customWidth="1"/>
    <col min="25" max="25" width="6.140625" customWidth="1"/>
    <col min="26" max="26" width="16.28515625" customWidth="1"/>
    <col min="27" max="27" width="10.28515625" customWidth="1"/>
    <col min="28" max="28" width="12.42578125" customWidth="1"/>
  </cols>
  <sheetData>
    <row r="1" spans="1:1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11</v>
      </c>
      <c r="L1" s="4" t="s">
        <v>10</v>
      </c>
      <c r="M1" s="4" t="s">
        <v>12</v>
      </c>
      <c r="N1" s="4" t="s">
        <v>13</v>
      </c>
      <c r="O1" s="4" t="s">
        <v>14</v>
      </c>
      <c r="P1" s="4" t="s">
        <v>16</v>
      </c>
      <c r="Q1" s="4" t="s">
        <v>15</v>
      </c>
      <c r="R1" s="4" t="s">
        <v>17</v>
      </c>
    </row>
    <row r="2" spans="1:19" x14ac:dyDescent="0.25">
      <c r="A2">
        <v>1503960366</v>
      </c>
      <c r="B2" s="1">
        <v>42472</v>
      </c>
      <c r="C2">
        <v>13162</v>
      </c>
      <c r="D2">
        <v>8.5</v>
      </c>
      <c r="E2">
        <v>25</v>
      </c>
      <c r="F2">
        <v>13</v>
      </c>
      <c r="G2">
        <v>328</v>
      </c>
      <c r="H2">
        <v>1985</v>
      </c>
      <c r="I2" s="5">
        <v>1503960366</v>
      </c>
      <c r="J2" s="6">
        <f>COUNTIFS($A$2:$A$941,I2,$B$2:$B$941,"&lt;&gt;")</f>
        <v>31</v>
      </c>
      <c r="K2" s="6" t="str">
        <f>IF(J2&gt;20,"Active",IF(AND(J2&gt;=10,J2&lt;=20),"Moderate","Light"))</f>
        <v>Active</v>
      </c>
      <c r="L2" s="7">
        <f>AVERAGEIF($A$2:$A$941,I2,$D$2:$D$941)</f>
        <v>7.8096773855147834</v>
      </c>
      <c r="M2" s="6" t="str">
        <f>IF(L2&gt;10,"Pro",IF(AND(L2&lt;=10,L2&gt;=5),"Intermediate","Beginner"))</f>
        <v>Intermediate</v>
      </c>
      <c r="N2" s="6">
        <f>SUMIF($A$2:$A$941,I2,$C$2:$C$941)</f>
        <v>375619</v>
      </c>
      <c r="O2" s="6">
        <f t="shared" ref="O2:O34" si="0">SUMIF($A$2:$A$941,I2,$H$2:$H$941)</f>
        <v>56309</v>
      </c>
      <c r="P2" s="8">
        <f>AVERAGEIF($A$2:$A$941,I2,$E$2:$E$941)</f>
        <v>38.70967741935484</v>
      </c>
      <c r="Q2" s="8">
        <f>AVERAGEIF($A$2:$A$941,I2,$F$2:$F$941)</f>
        <v>19.161290322580644</v>
      </c>
      <c r="R2" s="8">
        <f>AVERAGEIF($A$2:$A$941,I2,$G$2:$G$941)</f>
        <v>219.93548387096774</v>
      </c>
    </row>
    <row r="3" spans="1:19" x14ac:dyDescent="0.25">
      <c r="A3">
        <v>1503960366</v>
      </c>
      <c r="B3" s="1">
        <v>42473</v>
      </c>
      <c r="C3">
        <v>10735</v>
      </c>
      <c r="D3">
        <v>6.9699997901916504</v>
      </c>
      <c r="E3">
        <v>21</v>
      </c>
      <c r="F3">
        <v>19</v>
      </c>
      <c r="G3">
        <v>217</v>
      </c>
      <c r="H3">
        <v>1797</v>
      </c>
      <c r="I3" s="5">
        <v>1624580081</v>
      </c>
      <c r="J3" s="6">
        <f t="shared" ref="J3:J34" si="1">COUNTIFS($A$2:$A$941,I3,$B$2:$B$941,"&lt;&gt;")</f>
        <v>31</v>
      </c>
      <c r="K3" s="6" t="str">
        <f t="shared" ref="K3:K34" si="2">IF(J3&gt;20,"Active",IF(AND(J3&gt;=10,J3&lt;=20),"Moderate","Light"))</f>
        <v>Active</v>
      </c>
      <c r="L3" s="7">
        <f t="shared" ref="L3:L34" si="3">AVERAGEIF($A$2:$A$941,I3,$D$2:$D$941)</f>
        <v>3.9148387293661795</v>
      </c>
      <c r="M3" s="6" t="str">
        <f t="shared" ref="M3:M34" si="4">IF(L3&gt;10,"Pro",IF(AND(L3&lt;=10,L3&gt;=5),"Intermediate","Beginner"))</f>
        <v>Beginner</v>
      </c>
      <c r="N3" s="6">
        <f t="shared" ref="N3:N34" si="5">SUMIF($A$2:$A$941,I3,$C$2:$C$941)</f>
        <v>178061</v>
      </c>
      <c r="O3" s="6">
        <f t="shared" si="0"/>
        <v>45984</v>
      </c>
      <c r="P3" s="8">
        <f t="shared" ref="P3:P34" si="6">AVERAGEIF($A$2:$A$941,I3,$E$2:$E$941)</f>
        <v>8.67741935483871</v>
      </c>
      <c r="Q3" s="8">
        <f t="shared" ref="Q3:Q34" si="7">AVERAGEIF($A$2:$A$941,I3,$F$2:$F$941)</f>
        <v>5.806451612903226</v>
      </c>
      <c r="R3" s="8">
        <f t="shared" ref="R3:R34" si="8">AVERAGEIF($A$2:$A$941,I3,$G$2:$G$941)</f>
        <v>153.48387096774192</v>
      </c>
    </row>
    <row r="4" spans="1:19" x14ac:dyDescent="0.25">
      <c r="A4">
        <v>1503960366</v>
      </c>
      <c r="B4" s="1">
        <v>42474</v>
      </c>
      <c r="C4">
        <v>10460</v>
      </c>
      <c r="D4">
        <v>6.7399997711181596</v>
      </c>
      <c r="E4">
        <v>30</v>
      </c>
      <c r="F4">
        <v>11</v>
      </c>
      <c r="G4">
        <v>181</v>
      </c>
      <c r="H4">
        <v>1776</v>
      </c>
      <c r="I4" s="5">
        <v>1644430081</v>
      </c>
      <c r="J4" s="6">
        <f t="shared" si="1"/>
        <v>30</v>
      </c>
      <c r="K4" s="6" t="str">
        <f t="shared" si="2"/>
        <v>Active</v>
      </c>
      <c r="L4" s="7">
        <f t="shared" si="3"/>
        <v>5.2953333536783873</v>
      </c>
      <c r="M4" s="6" t="str">
        <f t="shared" si="4"/>
        <v>Intermediate</v>
      </c>
      <c r="N4" s="6">
        <f t="shared" si="5"/>
        <v>218489</v>
      </c>
      <c r="O4" s="6">
        <f t="shared" si="0"/>
        <v>84339</v>
      </c>
      <c r="P4" s="8">
        <f t="shared" si="6"/>
        <v>9.5666666666666664</v>
      </c>
      <c r="Q4" s="8">
        <f t="shared" si="7"/>
        <v>21.366666666666667</v>
      </c>
      <c r="R4" s="8">
        <f t="shared" si="8"/>
        <v>178.46666666666667</v>
      </c>
    </row>
    <row r="5" spans="1:19" x14ac:dyDescent="0.25">
      <c r="A5">
        <v>1503960366</v>
      </c>
      <c r="B5" s="1">
        <v>42475</v>
      </c>
      <c r="C5">
        <v>9762</v>
      </c>
      <c r="D5">
        <v>6.2800002098083496</v>
      </c>
      <c r="E5">
        <v>29</v>
      </c>
      <c r="F5">
        <v>34</v>
      </c>
      <c r="G5">
        <v>209</v>
      </c>
      <c r="H5">
        <v>1745</v>
      </c>
      <c r="I5" s="5">
        <v>1844505072</v>
      </c>
      <c r="J5" s="6">
        <f t="shared" si="1"/>
        <v>31</v>
      </c>
      <c r="K5" s="6" t="str">
        <f t="shared" si="2"/>
        <v>Active</v>
      </c>
      <c r="L5" s="7">
        <f t="shared" si="3"/>
        <v>1.7061290368437778</v>
      </c>
      <c r="M5" s="6" t="str">
        <f t="shared" si="4"/>
        <v>Beginner</v>
      </c>
      <c r="N5" s="6">
        <f t="shared" si="5"/>
        <v>79982</v>
      </c>
      <c r="O5" s="6">
        <f t="shared" si="0"/>
        <v>48778</v>
      </c>
      <c r="P5" s="8">
        <f t="shared" si="6"/>
        <v>0.12903225806451613</v>
      </c>
      <c r="Q5" s="8">
        <f t="shared" si="7"/>
        <v>1.2903225806451613</v>
      </c>
      <c r="R5" s="8">
        <f t="shared" si="8"/>
        <v>115.45161290322581</v>
      </c>
    </row>
    <row r="6" spans="1:19" x14ac:dyDescent="0.25">
      <c r="A6">
        <v>1503960366</v>
      </c>
      <c r="B6" s="1">
        <v>42476</v>
      </c>
      <c r="C6">
        <v>12669</v>
      </c>
      <c r="D6">
        <v>8.1599998474121094</v>
      </c>
      <c r="E6">
        <v>36</v>
      </c>
      <c r="F6">
        <v>10</v>
      </c>
      <c r="G6">
        <v>221</v>
      </c>
      <c r="H6">
        <v>1863</v>
      </c>
      <c r="I6" s="5">
        <v>1927972279</v>
      </c>
      <c r="J6" s="6">
        <f t="shared" si="1"/>
        <v>31</v>
      </c>
      <c r="K6" s="6" t="str">
        <f t="shared" si="2"/>
        <v>Active</v>
      </c>
      <c r="L6" s="7">
        <f t="shared" si="3"/>
        <v>0.63451612308140759</v>
      </c>
      <c r="M6" s="6" t="str">
        <f t="shared" si="4"/>
        <v>Beginner</v>
      </c>
      <c r="N6" s="6">
        <f t="shared" si="5"/>
        <v>28400</v>
      </c>
      <c r="O6" s="6">
        <f t="shared" si="0"/>
        <v>67357</v>
      </c>
      <c r="P6" s="8">
        <f t="shared" si="6"/>
        <v>1.3225806451612903</v>
      </c>
      <c r="Q6" s="8">
        <f t="shared" si="7"/>
        <v>0.77419354838709675</v>
      </c>
      <c r="R6" s="8">
        <f t="shared" si="8"/>
        <v>38.58064516129032</v>
      </c>
    </row>
    <row r="7" spans="1:19" x14ac:dyDescent="0.25">
      <c r="A7">
        <v>1503960366</v>
      </c>
      <c r="B7" s="1">
        <v>42477</v>
      </c>
      <c r="C7">
        <v>9705</v>
      </c>
      <c r="D7">
        <v>6.4800000190734899</v>
      </c>
      <c r="E7">
        <v>38</v>
      </c>
      <c r="F7">
        <v>20</v>
      </c>
      <c r="G7">
        <v>164</v>
      </c>
      <c r="H7">
        <v>1728</v>
      </c>
      <c r="I7" s="5">
        <v>2022484408</v>
      </c>
      <c r="J7" s="6">
        <f t="shared" si="1"/>
        <v>31</v>
      </c>
      <c r="K7" s="6" t="str">
        <f t="shared" si="2"/>
        <v>Active</v>
      </c>
      <c r="L7" s="7">
        <f t="shared" si="3"/>
        <v>8.0841934911666371</v>
      </c>
      <c r="M7" s="6" t="str">
        <f t="shared" si="4"/>
        <v>Intermediate</v>
      </c>
      <c r="N7" s="6">
        <f t="shared" si="5"/>
        <v>352490</v>
      </c>
      <c r="O7" s="6">
        <f t="shared" si="0"/>
        <v>77809</v>
      </c>
      <c r="P7" s="8">
        <f t="shared" si="6"/>
        <v>36.29032258064516</v>
      </c>
      <c r="Q7" s="8">
        <f t="shared" si="7"/>
        <v>19.35483870967742</v>
      </c>
      <c r="R7" s="8">
        <f t="shared" si="8"/>
        <v>257.45161290322579</v>
      </c>
      <c r="S7" s="26" t="s">
        <v>22</v>
      </c>
    </row>
    <row r="8" spans="1:19" x14ac:dyDescent="0.25">
      <c r="A8">
        <v>1503960366</v>
      </c>
      <c r="B8" s="1">
        <v>42478</v>
      </c>
      <c r="C8">
        <v>13019</v>
      </c>
      <c r="D8">
        <v>8.5900001525878906</v>
      </c>
      <c r="E8">
        <v>42</v>
      </c>
      <c r="F8">
        <v>16</v>
      </c>
      <c r="G8">
        <v>233</v>
      </c>
      <c r="H8">
        <v>1921</v>
      </c>
      <c r="I8" s="5">
        <v>2026352035</v>
      </c>
      <c r="J8" s="6">
        <f t="shared" si="1"/>
        <v>31</v>
      </c>
      <c r="K8" s="6" t="str">
        <f t="shared" si="2"/>
        <v>Active</v>
      </c>
      <c r="L8" s="7">
        <f t="shared" si="3"/>
        <v>3.4548387152533384</v>
      </c>
      <c r="M8" s="6" t="str">
        <f t="shared" si="4"/>
        <v>Beginner</v>
      </c>
      <c r="N8" s="6">
        <f t="shared" si="5"/>
        <v>172573</v>
      </c>
      <c r="O8" s="6">
        <f t="shared" si="0"/>
        <v>47760</v>
      </c>
      <c r="P8" s="8">
        <f t="shared" si="6"/>
        <v>9.6774193548387094E-2</v>
      </c>
      <c r="Q8" s="8">
        <f t="shared" si="7"/>
        <v>0.25806451612903225</v>
      </c>
      <c r="R8" s="8">
        <f t="shared" si="8"/>
        <v>256.64516129032256</v>
      </c>
      <c r="S8" s="25" t="s">
        <v>23</v>
      </c>
    </row>
    <row r="9" spans="1:19" x14ac:dyDescent="0.25">
      <c r="A9">
        <v>1503960366</v>
      </c>
      <c r="B9" s="1">
        <v>42479</v>
      </c>
      <c r="C9">
        <v>15506</v>
      </c>
      <c r="D9">
        <v>9.8800001144409197</v>
      </c>
      <c r="E9">
        <v>50</v>
      </c>
      <c r="F9">
        <v>31</v>
      </c>
      <c r="G9">
        <v>264</v>
      </c>
      <c r="H9">
        <v>2035</v>
      </c>
      <c r="I9" s="5">
        <v>2320127002</v>
      </c>
      <c r="J9" s="6">
        <f t="shared" si="1"/>
        <v>31</v>
      </c>
      <c r="K9" s="6" t="str">
        <f t="shared" si="2"/>
        <v>Active</v>
      </c>
      <c r="L9" s="7">
        <f t="shared" si="3"/>
        <v>3.1877419044894557</v>
      </c>
      <c r="M9" s="6" t="str">
        <f t="shared" si="4"/>
        <v>Beginner</v>
      </c>
      <c r="N9" s="6">
        <f t="shared" si="5"/>
        <v>146223</v>
      </c>
      <c r="O9" s="6">
        <f t="shared" si="0"/>
        <v>53449</v>
      </c>
      <c r="P9" s="8">
        <f t="shared" si="6"/>
        <v>1.3548387096774193</v>
      </c>
      <c r="Q9" s="8">
        <f t="shared" si="7"/>
        <v>2.5806451612903225</v>
      </c>
      <c r="R9" s="8">
        <f t="shared" si="8"/>
        <v>198.19354838709677</v>
      </c>
    </row>
    <row r="10" spans="1:19" x14ac:dyDescent="0.25">
      <c r="A10">
        <v>1503960366</v>
      </c>
      <c r="B10" s="1">
        <v>42480</v>
      </c>
      <c r="C10">
        <v>10544</v>
      </c>
      <c r="D10">
        <v>6.6799998283386204</v>
      </c>
      <c r="E10">
        <v>28</v>
      </c>
      <c r="F10">
        <v>12</v>
      </c>
      <c r="G10">
        <v>205</v>
      </c>
      <c r="H10">
        <v>1786</v>
      </c>
      <c r="I10" s="5">
        <v>2347167796</v>
      </c>
      <c r="J10" s="6">
        <f t="shared" si="1"/>
        <v>18</v>
      </c>
      <c r="K10" s="6" t="str">
        <f t="shared" si="2"/>
        <v>Moderate</v>
      </c>
      <c r="L10" s="7">
        <f t="shared" si="3"/>
        <v>6.3555555359150011</v>
      </c>
      <c r="M10" s="6" t="str">
        <f t="shared" si="4"/>
        <v>Intermediate</v>
      </c>
      <c r="N10" s="6">
        <f t="shared" si="5"/>
        <v>171354</v>
      </c>
      <c r="O10" s="6">
        <f t="shared" si="0"/>
        <v>36782</v>
      </c>
      <c r="P10" s="8">
        <f t="shared" si="6"/>
        <v>13.5</v>
      </c>
      <c r="Q10" s="8">
        <f t="shared" si="7"/>
        <v>20.555555555555557</v>
      </c>
      <c r="R10" s="8">
        <f t="shared" si="8"/>
        <v>252.5</v>
      </c>
    </row>
    <row r="11" spans="1:19" x14ac:dyDescent="0.25">
      <c r="A11">
        <v>1503960366</v>
      </c>
      <c r="B11" s="1">
        <v>42481</v>
      </c>
      <c r="C11">
        <v>9819</v>
      </c>
      <c r="D11">
        <v>6.3400001525878897</v>
      </c>
      <c r="E11">
        <v>19</v>
      </c>
      <c r="F11">
        <v>8</v>
      </c>
      <c r="G11">
        <v>211</v>
      </c>
      <c r="H11">
        <v>1775</v>
      </c>
      <c r="I11" s="5">
        <v>2873212765</v>
      </c>
      <c r="J11" s="6">
        <f t="shared" si="1"/>
        <v>31</v>
      </c>
      <c r="K11" s="6" t="str">
        <f t="shared" si="2"/>
        <v>Active</v>
      </c>
      <c r="L11" s="7">
        <f t="shared" si="3"/>
        <v>5.1016128601566439</v>
      </c>
      <c r="M11" s="6" t="str">
        <f t="shared" si="4"/>
        <v>Intermediate</v>
      </c>
      <c r="N11" s="6">
        <f t="shared" si="5"/>
        <v>234229</v>
      </c>
      <c r="O11" s="6">
        <f t="shared" si="0"/>
        <v>59426</v>
      </c>
      <c r="P11" s="8">
        <f t="shared" si="6"/>
        <v>14.096774193548388</v>
      </c>
      <c r="Q11" s="8">
        <f t="shared" si="7"/>
        <v>6.129032258064516</v>
      </c>
      <c r="R11" s="8">
        <f t="shared" si="8"/>
        <v>308</v>
      </c>
    </row>
    <row r="12" spans="1:19" x14ac:dyDescent="0.25">
      <c r="A12">
        <v>1503960366</v>
      </c>
      <c r="B12" s="1">
        <v>42482</v>
      </c>
      <c r="C12">
        <v>12764</v>
      </c>
      <c r="D12">
        <v>8.1300001144409197</v>
      </c>
      <c r="E12">
        <v>66</v>
      </c>
      <c r="F12">
        <v>27</v>
      </c>
      <c r="G12">
        <v>130</v>
      </c>
      <c r="H12">
        <v>1827</v>
      </c>
      <c r="I12" s="5">
        <v>3372868164</v>
      </c>
      <c r="J12" s="6">
        <f t="shared" si="1"/>
        <v>20</v>
      </c>
      <c r="K12" s="6" t="str">
        <f t="shared" si="2"/>
        <v>Moderate</v>
      </c>
      <c r="L12" s="7">
        <f t="shared" si="3"/>
        <v>4.707000041007996</v>
      </c>
      <c r="M12" s="6" t="str">
        <f t="shared" si="4"/>
        <v>Beginner</v>
      </c>
      <c r="N12" s="6">
        <f t="shared" si="5"/>
        <v>137233</v>
      </c>
      <c r="O12" s="6">
        <f t="shared" si="0"/>
        <v>38662</v>
      </c>
      <c r="P12" s="8">
        <f t="shared" si="6"/>
        <v>9.15</v>
      </c>
      <c r="Q12" s="8">
        <f t="shared" si="7"/>
        <v>4.0999999999999996</v>
      </c>
      <c r="R12" s="8">
        <f t="shared" si="8"/>
        <v>327.9</v>
      </c>
    </row>
    <row r="13" spans="1:19" x14ac:dyDescent="0.25">
      <c r="A13">
        <v>1503960366</v>
      </c>
      <c r="B13" s="1">
        <v>42483</v>
      </c>
      <c r="C13">
        <v>14371</v>
      </c>
      <c r="D13">
        <v>9.0399999618530291</v>
      </c>
      <c r="E13">
        <v>41</v>
      </c>
      <c r="F13">
        <v>21</v>
      </c>
      <c r="G13">
        <v>262</v>
      </c>
      <c r="H13">
        <v>1949</v>
      </c>
      <c r="I13" s="5">
        <v>3977333714</v>
      </c>
      <c r="J13" s="6">
        <f t="shared" si="1"/>
        <v>30</v>
      </c>
      <c r="K13" s="6" t="str">
        <f t="shared" si="2"/>
        <v>Active</v>
      </c>
      <c r="L13" s="7">
        <f t="shared" si="3"/>
        <v>7.5169999440511095</v>
      </c>
      <c r="M13" s="6" t="str">
        <f t="shared" si="4"/>
        <v>Intermediate</v>
      </c>
      <c r="N13" s="6">
        <f t="shared" si="5"/>
        <v>329537</v>
      </c>
      <c r="O13" s="6">
        <f t="shared" si="0"/>
        <v>45410</v>
      </c>
      <c r="P13" s="8">
        <f t="shared" si="6"/>
        <v>18.899999999999999</v>
      </c>
      <c r="Q13" s="8">
        <f t="shared" si="7"/>
        <v>61.266666666666666</v>
      </c>
      <c r="R13" s="8">
        <f t="shared" si="8"/>
        <v>174.76666666666668</v>
      </c>
    </row>
    <row r="14" spans="1:19" x14ac:dyDescent="0.25">
      <c r="A14">
        <v>1503960366</v>
      </c>
      <c r="B14" s="1">
        <v>42484</v>
      </c>
      <c r="C14">
        <v>10039</v>
      </c>
      <c r="D14">
        <v>6.4099998474121103</v>
      </c>
      <c r="E14">
        <v>39</v>
      </c>
      <c r="F14">
        <v>5</v>
      </c>
      <c r="G14">
        <v>238</v>
      </c>
      <c r="H14">
        <v>1788</v>
      </c>
      <c r="I14" s="5">
        <v>4020332650</v>
      </c>
      <c r="J14" s="6">
        <f t="shared" si="1"/>
        <v>31</v>
      </c>
      <c r="K14" s="6" t="str">
        <f t="shared" si="2"/>
        <v>Active</v>
      </c>
      <c r="L14" s="7">
        <f t="shared" si="3"/>
        <v>1.6261290389323431</v>
      </c>
      <c r="M14" s="6" t="str">
        <f t="shared" si="4"/>
        <v>Beginner</v>
      </c>
      <c r="N14" s="6">
        <f t="shared" si="5"/>
        <v>70284</v>
      </c>
      <c r="O14" s="6">
        <f t="shared" si="0"/>
        <v>73960</v>
      </c>
      <c r="P14" s="8">
        <f t="shared" si="6"/>
        <v>5.193548387096774</v>
      </c>
      <c r="Q14" s="8">
        <f t="shared" si="7"/>
        <v>5.354838709677419</v>
      </c>
      <c r="R14" s="8">
        <f t="shared" si="8"/>
        <v>76.935483870967744</v>
      </c>
    </row>
    <row r="15" spans="1:19" x14ac:dyDescent="0.25">
      <c r="A15">
        <v>1503960366</v>
      </c>
      <c r="B15" s="1">
        <v>42485</v>
      </c>
      <c r="C15">
        <v>15355</v>
      </c>
      <c r="D15">
        <v>9.8000001907348597</v>
      </c>
      <c r="E15">
        <v>73</v>
      </c>
      <c r="F15">
        <v>14</v>
      </c>
      <c r="G15">
        <v>216</v>
      </c>
      <c r="H15">
        <v>2013</v>
      </c>
      <c r="I15" s="5">
        <v>4057192912</v>
      </c>
      <c r="J15" s="6">
        <f t="shared" si="1"/>
        <v>4</v>
      </c>
      <c r="K15" s="6" t="str">
        <f t="shared" si="2"/>
        <v>Light</v>
      </c>
      <c r="L15" s="7">
        <f t="shared" si="3"/>
        <v>2.8625000119209298</v>
      </c>
      <c r="M15" s="6" t="str">
        <f t="shared" si="4"/>
        <v>Beginner</v>
      </c>
      <c r="N15" s="6">
        <f t="shared" si="5"/>
        <v>15352</v>
      </c>
      <c r="O15" s="6">
        <f t="shared" si="0"/>
        <v>7895</v>
      </c>
      <c r="P15" s="8">
        <f t="shared" si="6"/>
        <v>0.75</v>
      </c>
      <c r="Q15" s="8">
        <f t="shared" si="7"/>
        <v>1.5</v>
      </c>
      <c r="R15" s="8">
        <f t="shared" si="8"/>
        <v>103</v>
      </c>
    </row>
    <row r="16" spans="1:19" x14ac:dyDescent="0.25">
      <c r="A16">
        <v>1503960366</v>
      </c>
      <c r="B16" s="1">
        <v>42486</v>
      </c>
      <c r="C16">
        <v>13755</v>
      </c>
      <c r="D16">
        <v>8.7899999618530291</v>
      </c>
      <c r="E16">
        <v>31</v>
      </c>
      <c r="F16">
        <v>23</v>
      </c>
      <c r="G16">
        <v>279</v>
      </c>
      <c r="H16">
        <v>1970</v>
      </c>
      <c r="I16" s="5">
        <v>4319703577</v>
      </c>
      <c r="J16" s="6">
        <f t="shared" si="1"/>
        <v>31</v>
      </c>
      <c r="K16" s="6" t="str">
        <f t="shared" si="2"/>
        <v>Active</v>
      </c>
      <c r="L16" s="7">
        <f t="shared" si="3"/>
        <v>4.8922580470361057</v>
      </c>
      <c r="M16" s="6" t="str">
        <f t="shared" si="4"/>
        <v>Beginner</v>
      </c>
      <c r="N16" s="6">
        <f t="shared" si="5"/>
        <v>225334</v>
      </c>
      <c r="O16" s="6">
        <f t="shared" si="0"/>
        <v>63168</v>
      </c>
      <c r="P16" s="8">
        <f t="shared" si="6"/>
        <v>3.5806451612903225</v>
      </c>
      <c r="Q16" s="8">
        <f t="shared" si="7"/>
        <v>12.32258064516129</v>
      </c>
      <c r="R16" s="8">
        <f t="shared" si="8"/>
        <v>228.7741935483871</v>
      </c>
    </row>
    <row r="17" spans="1:18" x14ac:dyDescent="0.25">
      <c r="A17">
        <v>1503960366</v>
      </c>
      <c r="B17" s="1">
        <v>42487</v>
      </c>
      <c r="C17">
        <v>18134</v>
      </c>
      <c r="D17">
        <v>12.210000038146999</v>
      </c>
      <c r="E17">
        <v>78</v>
      </c>
      <c r="F17">
        <v>11</v>
      </c>
      <c r="G17">
        <v>243</v>
      </c>
      <c r="H17">
        <v>2159</v>
      </c>
      <c r="I17" s="5">
        <v>4388161847</v>
      </c>
      <c r="J17" s="6">
        <f t="shared" si="1"/>
        <v>31</v>
      </c>
      <c r="K17" s="6" t="str">
        <f t="shared" si="2"/>
        <v>Active</v>
      </c>
      <c r="L17" s="7">
        <f t="shared" si="3"/>
        <v>8.393225892897572</v>
      </c>
      <c r="M17" s="6" t="str">
        <f t="shared" si="4"/>
        <v>Intermediate</v>
      </c>
      <c r="N17" s="6">
        <f t="shared" si="5"/>
        <v>335232</v>
      </c>
      <c r="O17" s="6">
        <f t="shared" si="0"/>
        <v>95910</v>
      </c>
      <c r="P17" s="8">
        <f t="shared" si="6"/>
        <v>23.161290322580644</v>
      </c>
      <c r="Q17" s="8">
        <f t="shared" si="7"/>
        <v>20.35483870967742</v>
      </c>
      <c r="R17" s="8">
        <f t="shared" si="8"/>
        <v>229.35483870967741</v>
      </c>
    </row>
    <row r="18" spans="1:18" x14ac:dyDescent="0.25">
      <c r="A18">
        <v>1503960366</v>
      </c>
      <c r="B18" s="1">
        <v>42488</v>
      </c>
      <c r="C18">
        <v>13154</v>
      </c>
      <c r="D18">
        <v>8.5299997329711896</v>
      </c>
      <c r="E18">
        <v>48</v>
      </c>
      <c r="F18">
        <v>28</v>
      </c>
      <c r="G18">
        <v>189</v>
      </c>
      <c r="H18">
        <v>1898</v>
      </c>
      <c r="I18" s="5">
        <v>4445114986</v>
      </c>
      <c r="J18" s="6">
        <f t="shared" si="1"/>
        <v>31</v>
      </c>
      <c r="K18" s="6" t="str">
        <f t="shared" si="2"/>
        <v>Active</v>
      </c>
      <c r="L18" s="7">
        <f t="shared" si="3"/>
        <v>3.2458064402303388</v>
      </c>
      <c r="M18" s="6" t="str">
        <f t="shared" si="4"/>
        <v>Beginner</v>
      </c>
      <c r="N18" s="6">
        <f t="shared" si="5"/>
        <v>148693</v>
      </c>
      <c r="O18" s="6">
        <f t="shared" si="0"/>
        <v>67772</v>
      </c>
      <c r="P18" s="8">
        <f t="shared" si="6"/>
        <v>6.612903225806452</v>
      </c>
      <c r="Q18" s="8">
        <f t="shared" si="7"/>
        <v>1.7419354838709677</v>
      </c>
      <c r="R18" s="8">
        <f t="shared" si="8"/>
        <v>209.09677419354838</v>
      </c>
    </row>
    <row r="19" spans="1:18" x14ac:dyDescent="0.25">
      <c r="A19">
        <v>1503960366</v>
      </c>
      <c r="B19" s="1">
        <v>42489</v>
      </c>
      <c r="C19">
        <v>11181</v>
      </c>
      <c r="D19">
        <v>7.1500000953674299</v>
      </c>
      <c r="E19">
        <v>16</v>
      </c>
      <c r="F19">
        <v>12</v>
      </c>
      <c r="G19">
        <v>243</v>
      </c>
      <c r="H19">
        <v>1837</v>
      </c>
      <c r="I19" s="5">
        <v>4558609924</v>
      </c>
      <c r="J19" s="6">
        <f t="shared" si="1"/>
        <v>31</v>
      </c>
      <c r="K19" s="6" t="str">
        <f t="shared" si="2"/>
        <v>Active</v>
      </c>
      <c r="L19" s="7">
        <f t="shared" si="3"/>
        <v>5.0806451766721663</v>
      </c>
      <c r="M19" s="6" t="str">
        <f t="shared" si="4"/>
        <v>Intermediate</v>
      </c>
      <c r="N19" s="6">
        <f t="shared" si="5"/>
        <v>238239</v>
      </c>
      <c r="O19" s="6">
        <f t="shared" si="0"/>
        <v>63031</v>
      </c>
      <c r="P19" s="8">
        <f t="shared" si="6"/>
        <v>10.387096774193548</v>
      </c>
      <c r="Q19" s="8">
        <f t="shared" si="7"/>
        <v>13.709677419354838</v>
      </c>
      <c r="R19" s="8">
        <f t="shared" si="8"/>
        <v>284.96774193548384</v>
      </c>
    </row>
    <row r="20" spans="1:18" x14ac:dyDescent="0.25">
      <c r="A20">
        <v>1503960366</v>
      </c>
      <c r="B20" s="1">
        <v>42490</v>
      </c>
      <c r="C20">
        <v>14673</v>
      </c>
      <c r="D20">
        <v>9.25</v>
      </c>
      <c r="E20">
        <v>52</v>
      </c>
      <c r="F20">
        <v>34</v>
      </c>
      <c r="G20">
        <v>217</v>
      </c>
      <c r="H20">
        <v>1947</v>
      </c>
      <c r="I20" s="5">
        <v>4702921684</v>
      </c>
      <c r="J20" s="6">
        <f t="shared" si="1"/>
        <v>31</v>
      </c>
      <c r="K20" s="6" t="str">
        <f t="shared" si="2"/>
        <v>Active</v>
      </c>
      <c r="L20" s="7">
        <f t="shared" si="3"/>
        <v>6.9551612830931147</v>
      </c>
      <c r="M20" s="6" t="str">
        <f t="shared" si="4"/>
        <v>Intermediate</v>
      </c>
      <c r="N20" s="6">
        <f t="shared" si="5"/>
        <v>265734</v>
      </c>
      <c r="O20" s="6">
        <f t="shared" si="0"/>
        <v>91932</v>
      </c>
      <c r="P20" s="8">
        <f t="shared" si="6"/>
        <v>5.129032258064516</v>
      </c>
      <c r="Q20" s="8">
        <f t="shared" si="7"/>
        <v>26.032258064516128</v>
      </c>
      <c r="R20" s="8">
        <f t="shared" si="8"/>
        <v>237.48387096774192</v>
      </c>
    </row>
    <row r="21" spans="1:18" x14ac:dyDescent="0.25">
      <c r="A21">
        <v>1503960366</v>
      </c>
      <c r="B21" s="1">
        <v>42491</v>
      </c>
      <c r="C21">
        <v>10602</v>
      </c>
      <c r="D21">
        <v>6.8099999427795401</v>
      </c>
      <c r="E21">
        <v>33</v>
      </c>
      <c r="F21">
        <v>35</v>
      </c>
      <c r="G21">
        <v>246</v>
      </c>
      <c r="H21">
        <v>1820</v>
      </c>
      <c r="I21" s="5">
        <v>5553957443</v>
      </c>
      <c r="J21" s="6">
        <f t="shared" si="1"/>
        <v>31</v>
      </c>
      <c r="K21" s="6" t="str">
        <f t="shared" si="2"/>
        <v>Active</v>
      </c>
      <c r="L21" s="7">
        <f t="shared" si="3"/>
        <v>5.6396774495801596</v>
      </c>
      <c r="M21" s="6" t="str">
        <f t="shared" si="4"/>
        <v>Intermediate</v>
      </c>
      <c r="N21" s="6">
        <f t="shared" si="5"/>
        <v>266990</v>
      </c>
      <c r="O21" s="6">
        <f t="shared" si="0"/>
        <v>58146</v>
      </c>
      <c r="P21" s="8">
        <f t="shared" si="6"/>
        <v>23.419354838709676</v>
      </c>
      <c r="Q21" s="8">
        <f t="shared" si="7"/>
        <v>13</v>
      </c>
      <c r="R21" s="8">
        <f t="shared" si="8"/>
        <v>206.19354838709677</v>
      </c>
    </row>
    <row r="22" spans="1:18" x14ac:dyDescent="0.25">
      <c r="A22">
        <v>1503960366</v>
      </c>
      <c r="B22" s="1">
        <v>42492</v>
      </c>
      <c r="C22">
        <v>14727</v>
      </c>
      <c r="D22">
        <v>9.7100000381469709</v>
      </c>
      <c r="E22">
        <v>41</v>
      </c>
      <c r="F22">
        <v>15</v>
      </c>
      <c r="G22">
        <v>277</v>
      </c>
      <c r="H22">
        <v>2004</v>
      </c>
      <c r="I22" s="5">
        <v>5577150313</v>
      </c>
      <c r="J22" s="6">
        <f t="shared" si="1"/>
        <v>30</v>
      </c>
      <c r="K22" s="6" t="str">
        <f t="shared" si="2"/>
        <v>Active</v>
      </c>
      <c r="L22" s="7">
        <f t="shared" si="3"/>
        <v>6.2133333047231041</v>
      </c>
      <c r="M22" s="6" t="str">
        <f t="shared" si="4"/>
        <v>Intermediate</v>
      </c>
      <c r="N22" s="6">
        <f t="shared" si="5"/>
        <v>249133</v>
      </c>
      <c r="O22" s="6">
        <f t="shared" si="0"/>
        <v>100789</v>
      </c>
      <c r="P22" s="8">
        <f t="shared" si="6"/>
        <v>87.333333333333329</v>
      </c>
      <c r="Q22" s="8">
        <f t="shared" si="7"/>
        <v>29.833333333333332</v>
      </c>
      <c r="R22" s="8">
        <f t="shared" si="8"/>
        <v>147.93333333333334</v>
      </c>
    </row>
    <row r="23" spans="1:18" x14ac:dyDescent="0.25">
      <c r="A23">
        <v>1503960366</v>
      </c>
      <c r="B23" s="1">
        <v>42493</v>
      </c>
      <c r="C23">
        <v>15103</v>
      </c>
      <c r="D23">
        <v>9.6599998474121094</v>
      </c>
      <c r="E23">
        <v>50</v>
      </c>
      <c r="F23">
        <v>24</v>
      </c>
      <c r="G23">
        <v>254</v>
      </c>
      <c r="H23">
        <v>1990</v>
      </c>
      <c r="I23" s="5">
        <v>6117666160</v>
      </c>
      <c r="J23" s="6">
        <f t="shared" si="1"/>
        <v>28</v>
      </c>
      <c r="K23" s="6" t="str">
        <f t="shared" si="2"/>
        <v>Active</v>
      </c>
      <c r="L23" s="7">
        <f t="shared" si="3"/>
        <v>5.342142914022717</v>
      </c>
      <c r="M23" s="6" t="str">
        <f t="shared" si="4"/>
        <v>Intermediate</v>
      </c>
      <c r="N23" s="6">
        <f t="shared" si="5"/>
        <v>197308</v>
      </c>
      <c r="O23" s="6">
        <f t="shared" si="0"/>
        <v>63312</v>
      </c>
      <c r="P23" s="8">
        <f t="shared" si="6"/>
        <v>1.5714285714285714</v>
      </c>
      <c r="Q23" s="8">
        <f t="shared" si="7"/>
        <v>2.0357142857142856</v>
      </c>
      <c r="R23" s="8">
        <f t="shared" si="8"/>
        <v>288.35714285714283</v>
      </c>
    </row>
    <row r="24" spans="1:18" x14ac:dyDescent="0.25">
      <c r="A24">
        <v>1503960366</v>
      </c>
      <c r="B24" s="1">
        <v>42494</v>
      </c>
      <c r="C24">
        <v>11100</v>
      </c>
      <c r="D24">
        <v>7.1500000953674299</v>
      </c>
      <c r="E24">
        <v>36</v>
      </c>
      <c r="F24">
        <v>22</v>
      </c>
      <c r="G24">
        <v>203</v>
      </c>
      <c r="H24">
        <v>1819</v>
      </c>
      <c r="I24" s="5">
        <v>6290855005</v>
      </c>
      <c r="J24" s="6">
        <f t="shared" si="1"/>
        <v>29</v>
      </c>
      <c r="K24" s="6" t="str">
        <f t="shared" si="2"/>
        <v>Active</v>
      </c>
      <c r="L24" s="7">
        <f t="shared" si="3"/>
        <v>4.2724138046133104</v>
      </c>
      <c r="M24" s="6" t="str">
        <f t="shared" si="4"/>
        <v>Beginner</v>
      </c>
      <c r="N24" s="6">
        <f t="shared" si="5"/>
        <v>163837</v>
      </c>
      <c r="O24" s="6">
        <f t="shared" si="0"/>
        <v>75389</v>
      </c>
      <c r="P24" s="8">
        <f t="shared" si="6"/>
        <v>2.7586206896551726</v>
      </c>
      <c r="Q24" s="8">
        <f t="shared" si="7"/>
        <v>3.7931034482758621</v>
      </c>
      <c r="R24" s="8">
        <f t="shared" si="8"/>
        <v>227.44827586206895</v>
      </c>
    </row>
    <row r="25" spans="1:18" x14ac:dyDescent="0.25">
      <c r="A25">
        <v>1503960366</v>
      </c>
      <c r="B25" s="1">
        <v>42495</v>
      </c>
      <c r="C25">
        <v>14070</v>
      </c>
      <c r="D25">
        <v>8.8999996185302699</v>
      </c>
      <c r="E25">
        <v>45</v>
      </c>
      <c r="F25">
        <v>24</v>
      </c>
      <c r="G25">
        <v>250</v>
      </c>
      <c r="H25">
        <v>1959</v>
      </c>
      <c r="I25" s="5">
        <v>6775888955</v>
      </c>
      <c r="J25" s="6">
        <f t="shared" si="1"/>
        <v>26</v>
      </c>
      <c r="K25" s="6" t="str">
        <f t="shared" si="2"/>
        <v>Active</v>
      </c>
      <c r="L25" s="7">
        <f t="shared" si="3"/>
        <v>1.8134615161241252</v>
      </c>
      <c r="M25" s="6" t="str">
        <f t="shared" si="4"/>
        <v>Beginner</v>
      </c>
      <c r="N25" s="6">
        <f t="shared" si="5"/>
        <v>65512</v>
      </c>
      <c r="O25" s="6">
        <f t="shared" si="0"/>
        <v>55426</v>
      </c>
      <c r="P25" s="8">
        <f t="shared" si="6"/>
        <v>11</v>
      </c>
      <c r="Q25" s="8">
        <f t="shared" si="7"/>
        <v>14.807692307692308</v>
      </c>
      <c r="R25" s="8">
        <f t="shared" si="8"/>
        <v>40.153846153846153</v>
      </c>
    </row>
    <row r="26" spans="1:18" x14ac:dyDescent="0.25">
      <c r="A26">
        <v>1503960366</v>
      </c>
      <c r="B26" s="1">
        <v>42496</v>
      </c>
      <c r="C26">
        <v>12159</v>
      </c>
      <c r="D26">
        <v>8.0299997329711896</v>
      </c>
      <c r="E26">
        <v>24</v>
      </c>
      <c r="F26">
        <v>6</v>
      </c>
      <c r="G26">
        <v>289</v>
      </c>
      <c r="H26">
        <v>1896</v>
      </c>
      <c r="I26" s="5">
        <v>6962181067</v>
      </c>
      <c r="J26" s="6">
        <f t="shared" si="1"/>
        <v>31</v>
      </c>
      <c r="K26" s="6" t="str">
        <f t="shared" si="2"/>
        <v>Active</v>
      </c>
      <c r="L26" s="7">
        <f t="shared" si="3"/>
        <v>6.585806477454403</v>
      </c>
      <c r="M26" s="6" t="str">
        <f t="shared" si="4"/>
        <v>Intermediate</v>
      </c>
      <c r="N26" s="6">
        <f t="shared" si="5"/>
        <v>303639</v>
      </c>
      <c r="O26" s="6">
        <f t="shared" si="0"/>
        <v>61443</v>
      </c>
      <c r="P26" s="8">
        <f t="shared" si="6"/>
        <v>22.806451612903224</v>
      </c>
      <c r="Q26" s="8">
        <f t="shared" si="7"/>
        <v>18.516129032258064</v>
      </c>
      <c r="R26" s="8">
        <f t="shared" si="8"/>
        <v>245.80645161290323</v>
      </c>
    </row>
    <row r="27" spans="1:18" x14ac:dyDescent="0.25">
      <c r="A27">
        <v>1503960366</v>
      </c>
      <c r="B27" s="1">
        <v>42497</v>
      </c>
      <c r="C27">
        <v>11992</v>
      </c>
      <c r="D27">
        <v>7.71000003814697</v>
      </c>
      <c r="E27">
        <v>37</v>
      </c>
      <c r="F27">
        <v>46</v>
      </c>
      <c r="G27">
        <v>175</v>
      </c>
      <c r="H27">
        <v>1821</v>
      </c>
      <c r="I27" s="5">
        <v>7007744171</v>
      </c>
      <c r="J27" s="6">
        <f t="shared" si="1"/>
        <v>26</v>
      </c>
      <c r="K27" s="6" t="str">
        <f t="shared" si="2"/>
        <v>Active</v>
      </c>
      <c r="L27" s="7">
        <f t="shared" si="3"/>
        <v>8.0153845915427571</v>
      </c>
      <c r="M27" s="6" t="str">
        <f t="shared" si="4"/>
        <v>Intermediate</v>
      </c>
      <c r="N27" s="6">
        <f t="shared" si="5"/>
        <v>294409</v>
      </c>
      <c r="O27" s="6">
        <f t="shared" si="0"/>
        <v>66144</v>
      </c>
      <c r="P27" s="8">
        <f t="shared" si="6"/>
        <v>31.03846153846154</v>
      </c>
      <c r="Q27" s="8">
        <f t="shared" si="7"/>
        <v>16.26923076923077</v>
      </c>
      <c r="R27" s="8">
        <f t="shared" si="8"/>
        <v>280.73076923076923</v>
      </c>
    </row>
    <row r="28" spans="1:18" x14ac:dyDescent="0.25">
      <c r="A28">
        <v>1503960366</v>
      </c>
      <c r="B28" s="1">
        <v>42498</v>
      </c>
      <c r="C28">
        <v>10060</v>
      </c>
      <c r="D28">
        <v>6.5799999237060502</v>
      </c>
      <c r="E28">
        <v>44</v>
      </c>
      <c r="F28">
        <v>8</v>
      </c>
      <c r="G28">
        <v>203</v>
      </c>
      <c r="H28">
        <v>1740</v>
      </c>
      <c r="I28" s="5">
        <v>7086361926</v>
      </c>
      <c r="J28" s="6">
        <f t="shared" si="1"/>
        <v>31</v>
      </c>
      <c r="K28" s="6" t="str">
        <f t="shared" si="2"/>
        <v>Active</v>
      </c>
      <c r="L28" s="7">
        <f t="shared" si="3"/>
        <v>6.3880645078156268</v>
      </c>
      <c r="M28" s="6" t="str">
        <f t="shared" si="4"/>
        <v>Intermediate</v>
      </c>
      <c r="N28" s="6">
        <f t="shared" si="5"/>
        <v>290525</v>
      </c>
      <c r="O28" s="6">
        <f t="shared" si="0"/>
        <v>79557</v>
      </c>
      <c r="P28" s="8">
        <f t="shared" si="6"/>
        <v>42.58064516129032</v>
      </c>
      <c r="Q28" s="8">
        <f t="shared" si="7"/>
        <v>25.35483870967742</v>
      </c>
      <c r="R28" s="8">
        <f t="shared" si="8"/>
        <v>143.83870967741936</v>
      </c>
    </row>
    <row r="29" spans="1:18" x14ac:dyDescent="0.25">
      <c r="A29">
        <v>1503960366</v>
      </c>
      <c r="B29" s="1">
        <v>42499</v>
      </c>
      <c r="C29">
        <v>12022</v>
      </c>
      <c r="D29">
        <v>7.7199997901916504</v>
      </c>
      <c r="E29">
        <v>46</v>
      </c>
      <c r="F29">
        <v>11</v>
      </c>
      <c r="G29">
        <v>206</v>
      </c>
      <c r="H29">
        <v>1819</v>
      </c>
      <c r="I29" s="5">
        <v>8053475328</v>
      </c>
      <c r="J29" s="6">
        <f t="shared" si="1"/>
        <v>31</v>
      </c>
      <c r="K29" s="6" t="str">
        <f t="shared" si="2"/>
        <v>Active</v>
      </c>
      <c r="L29" s="7">
        <f t="shared" si="3"/>
        <v>11.475161198646786</v>
      </c>
      <c r="M29" s="6" t="str">
        <f t="shared" si="4"/>
        <v>Pro</v>
      </c>
      <c r="N29" s="6">
        <f t="shared" si="5"/>
        <v>457662</v>
      </c>
      <c r="O29" s="6">
        <f t="shared" si="0"/>
        <v>91320</v>
      </c>
      <c r="P29" s="8">
        <f t="shared" si="6"/>
        <v>85.161290322580641</v>
      </c>
      <c r="Q29" s="8">
        <f t="shared" si="7"/>
        <v>9.5806451612903221</v>
      </c>
      <c r="R29" s="8">
        <f t="shared" si="8"/>
        <v>150.96774193548387</v>
      </c>
    </row>
    <row r="30" spans="1:18" x14ac:dyDescent="0.25">
      <c r="A30">
        <v>1503960366</v>
      </c>
      <c r="B30" s="1">
        <v>42500</v>
      </c>
      <c r="C30">
        <v>12207</v>
      </c>
      <c r="D30">
        <v>7.7699999809265101</v>
      </c>
      <c r="E30">
        <v>46</v>
      </c>
      <c r="F30">
        <v>31</v>
      </c>
      <c r="G30">
        <v>214</v>
      </c>
      <c r="H30">
        <v>1859</v>
      </c>
      <c r="I30" s="5">
        <v>8253242879</v>
      </c>
      <c r="J30" s="6">
        <f t="shared" si="1"/>
        <v>19</v>
      </c>
      <c r="K30" s="6" t="str">
        <f t="shared" si="2"/>
        <v>Moderate</v>
      </c>
      <c r="L30" s="7">
        <f t="shared" si="3"/>
        <v>4.6673684684853809</v>
      </c>
      <c r="M30" s="6" t="str">
        <f t="shared" si="4"/>
        <v>Beginner</v>
      </c>
      <c r="N30" s="6">
        <f t="shared" si="5"/>
        <v>123161</v>
      </c>
      <c r="O30" s="6">
        <f t="shared" si="0"/>
        <v>33972</v>
      </c>
      <c r="P30" s="8">
        <f t="shared" si="6"/>
        <v>20.526315789473685</v>
      </c>
      <c r="Q30" s="8">
        <f t="shared" si="7"/>
        <v>14.315789473684211</v>
      </c>
      <c r="R30" s="8">
        <f t="shared" si="8"/>
        <v>116.89473684210526</v>
      </c>
    </row>
    <row r="31" spans="1:18" x14ac:dyDescent="0.25">
      <c r="A31">
        <v>1503960366</v>
      </c>
      <c r="B31" s="1">
        <v>42501</v>
      </c>
      <c r="C31">
        <v>12770</v>
      </c>
      <c r="D31">
        <v>8.1300001144409197</v>
      </c>
      <c r="E31">
        <v>36</v>
      </c>
      <c r="F31">
        <v>23</v>
      </c>
      <c r="G31">
        <v>251</v>
      </c>
      <c r="H31">
        <v>1783</v>
      </c>
      <c r="I31" s="5">
        <v>8378563200</v>
      </c>
      <c r="J31" s="6">
        <f t="shared" si="1"/>
        <v>31</v>
      </c>
      <c r="K31" s="6" t="str">
        <f t="shared" si="2"/>
        <v>Active</v>
      </c>
      <c r="L31" s="7">
        <f t="shared" si="3"/>
        <v>6.9135484618525318</v>
      </c>
      <c r="M31" s="6" t="str">
        <f t="shared" si="4"/>
        <v>Intermediate</v>
      </c>
      <c r="N31" s="6">
        <f t="shared" si="5"/>
        <v>270249</v>
      </c>
      <c r="O31" s="6">
        <f t="shared" si="0"/>
        <v>106534</v>
      </c>
      <c r="P31" s="8">
        <f t="shared" si="6"/>
        <v>58.677419354838712</v>
      </c>
      <c r="Q31" s="8">
        <f t="shared" si="7"/>
        <v>10.258064516129032</v>
      </c>
      <c r="R31" s="8">
        <f t="shared" si="8"/>
        <v>156.09677419354838</v>
      </c>
    </row>
    <row r="32" spans="1:18" x14ac:dyDescent="0.25">
      <c r="A32">
        <v>1503960366</v>
      </c>
      <c r="B32" s="1">
        <v>42502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 s="5">
        <v>8583815059</v>
      </c>
      <c r="J32" s="6">
        <f t="shared" si="1"/>
        <v>31</v>
      </c>
      <c r="K32" s="6" t="str">
        <f t="shared" si="2"/>
        <v>Active</v>
      </c>
      <c r="L32" s="7">
        <f t="shared" si="3"/>
        <v>5.6154838223611172</v>
      </c>
      <c r="M32" s="6" t="str">
        <f t="shared" si="4"/>
        <v>Intermediate</v>
      </c>
      <c r="N32" s="6">
        <f t="shared" si="5"/>
        <v>223154</v>
      </c>
      <c r="O32" s="6">
        <f t="shared" si="0"/>
        <v>84693</v>
      </c>
      <c r="P32" s="8">
        <f t="shared" si="6"/>
        <v>9.67741935483871</v>
      </c>
      <c r="Q32" s="8">
        <f t="shared" si="7"/>
        <v>22.193548387096776</v>
      </c>
      <c r="R32" s="8">
        <f t="shared" si="8"/>
        <v>138.29032258064515</v>
      </c>
    </row>
    <row r="33" spans="1:28" x14ac:dyDescent="0.25">
      <c r="A33">
        <v>1624580081</v>
      </c>
      <c r="B33" s="1">
        <v>42472</v>
      </c>
      <c r="C33">
        <v>8163</v>
      </c>
      <c r="D33">
        <v>5.3099999427795401</v>
      </c>
      <c r="E33">
        <v>0</v>
      </c>
      <c r="F33">
        <v>0</v>
      </c>
      <c r="G33">
        <v>146</v>
      </c>
      <c r="H33">
        <v>1432</v>
      </c>
      <c r="I33" s="5">
        <v>8792009665</v>
      </c>
      <c r="J33" s="6">
        <f t="shared" si="1"/>
        <v>29</v>
      </c>
      <c r="K33" s="6" t="str">
        <f t="shared" si="2"/>
        <v>Active</v>
      </c>
      <c r="L33" s="7">
        <f t="shared" si="3"/>
        <v>1.1865517168209478</v>
      </c>
      <c r="M33" s="6" t="str">
        <f t="shared" si="4"/>
        <v>Beginner</v>
      </c>
      <c r="N33" s="6">
        <f t="shared" si="5"/>
        <v>53758</v>
      </c>
      <c r="O33" s="6">
        <f t="shared" si="0"/>
        <v>56907</v>
      </c>
      <c r="P33" s="8">
        <f t="shared" si="6"/>
        <v>0.96551724137931039</v>
      </c>
      <c r="Q33" s="8">
        <f t="shared" si="7"/>
        <v>4.0344827586206895</v>
      </c>
      <c r="R33" s="8">
        <f t="shared" si="8"/>
        <v>91.793103448275858</v>
      </c>
    </row>
    <row r="34" spans="1:28" ht="15.75" thickBot="1" x14ac:dyDescent="0.3">
      <c r="A34">
        <v>1624580081</v>
      </c>
      <c r="B34" s="1">
        <v>42473</v>
      </c>
      <c r="C34">
        <v>7007</v>
      </c>
      <c r="D34">
        <v>4.5500001907348597</v>
      </c>
      <c r="E34">
        <v>0</v>
      </c>
      <c r="F34">
        <v>0</v>
      </c>
      <c r="G34">
        <v>148</v>
      </c>
      <c r="H34">
        <v>1411</v>
      </c>
      <c r="I34" s="9">
        <v>8877689391</v>
      </c>
      <c r="J34" s="10">
        <f t="shared" si="1"/>
        <v>31</v>
      </c>
      <c r="K34" s="10" t="str">
        <f t="shared" si="2"/>
        <v>Active</v>
      </c>
      <c r="L34" s="11">
        <f t="shared" si="3"/>
        <v>13.212903138129944</v>
      </c>
      <c r="M34" s="10" t="str">
        <f t="shared" si="4"/>
        <v>Pro</v>
      </c>
      <c r="N34" s="10">
        <f t="shared" si="5"/>
        <v>497241</v>
      </c>
      <c r="O34" s="10">
        <f t="shared" si="0"/>
        <v>106028</v>
      </c>
      <c r="P34" s="12">
        <f t="shared" si="6"/>
        <v>66.064516129032256</v>
      </c>
      <c r="Q34" s="12">
        <f t="shared" si="7"/>
        <v>9.935483870967742</v>
      </c>
      <c r="R34" s="13">
        <f t="shared" si="8"/>
        <v>234.70967741935485</v>
      </c>
      <c r="V34" s="2"/>
      <c r="Z34" s="2"/>
      <c r="AA34" s="2"/>
      <c r="AB34" s="2"/>
    </row>
    <row r="35" spans="1:28" x14ac:dyDescent="0.25">
      <c r="A35">
        <v>1624580081</v>
      </c>
      <c r="B35" s="1">
        <v>42474</v>
      </c>
      <c r="C35">
        <v>9107</v>
      </c>
      <c r="D35">
        <v>5.9200000762939498</v>
      </c>
      <c r="E35">
        <v>0</v>
      </c>
      <c r="F35">
        <v>0</v>
      </c>
      <c r="G35">
        <v>236</v>
      </c>
      <c r="H35">
        <v>1572</v>
      </c>
      <c r="Q35" s="2"/>
      <c r="V35" s="2"/>
      <c r="Z35" s="2"/>
      <c r="AA35" s="2"/>
      <c r="AB35" s="2"/>
    </row>
    <row r="36" spans="1:28" x14ac:dyDescent="0.25">
      <c r="A36">
        <v>1624580081</v>
      </c>
      <c r="B36" s="1">
        <v>42475</v>
      </c>
      <c r="C36">
        <v>1510</v>
      </c>
      <c r="D36">
        <v>0.980000019073486</v>
      </c>
      <c r="E36">
        <v>0</v>
      </c>
      <c r="F36">
        <v>0</v>
      </c>
      <c r="G36">
        <v>96</v>
      </c>
      <c r="H36">
        <v>1344</v>
      </c>
      <c r="Q36" s="2"/>
      <c r="V36" s="2"/>
      <c r="Z36" s="2"/>
      <c r="AA36" s="2"/>
      <c r="AB36" s="2"/>
    </row>
    <row r="37" spans="1:28" x14ac:dyDescent="0.25">
      <c r="A37">
        <v>1624580081</v>
      </c>
      <c r="B37" s="1">
        <v>42476</v>
      </c>
      <c r="C37">
        <v>5370</v>
      </c>
      <c r="D37">
        <v>3.4900000095367401</v>
      </c>
      <c r="E37">
        <v>0</v>
      </c>
      <c r="F37">
        <v>0</v>
      </c>
      <c r="G37">
        <v>176</v>
      </c>
      <c r="H37">
        <v>1463</v>
      </c>
      <c r="Q37" s="2"/>
      <c r="V37" s="2"/>
      <c r="Z37" s="2"/>
      <c r="AA37" s="2"/>
      <c r="AB37" s="2"/>
    </row>
    <row r="38" spans="1:28" x14ac:dyDescent="0.25">
      <c r="A38">
        <v>1624580081</v>
      </c>
      <c r="B38" s="1">
        <v>42477</v>
      </c>
      <c r="C38">
        <v>6175</v>
      </c>
      <c r="D38">
        <v>4.0599999427795401</v>
      </c>
      <c r="E38">
        <v>15</v>
      </c>
      <c r="F38">
        <v>22</v>
      </c>
      <c r="G38">
        <v>127</v>
      </c>
      <c r="H38">
        <v>1554</v>
      </c>
      <c r="Q38" s="2"/>
      <c r="V38" s="2"/>
      <c r="Z38" s="2"/>
      <c r="AA38" s="2"/>
      <c r="AB38" s="2"/>
    </row>
    <row r="39" spans="1:28" x14ac:dyDescent="0.25">
      <c r="A39">
        <v>1624580081</v>
      </c>
      <c r="B39" s="1">
        <v>42478</v>
      </c>
      <c r="C39">
        <v>10536</v>
      </c>
      <c r="D39">
        <v>7.4099998474121103</v>
      </c>
      <c r="E39">
        <v>17</v>
      </c>
      <c r="F39">
        <v>7</v>
      </c>
      <c r="G39">
        <v>202</v>
      </c>
      <c r="H39">
        <v>1604</v>
      </c>
      <c r="Q39" s="2"/>
      <c r="V39" s="2"/>
      <c r="Z39" s="2"/>
      <c r="AA39" s="2"/>
      <c r="AB39" s="2"/>
    </row>
    <row r="40" spans="1:28" x14ac:dyDescent="0.25">
      <c r="A40">
        <v>1624580081</v>
      </c>
      <c r="B40" s="1">
        <v>42479</v>
      </c>
      <c r="C40">
        <v>2916</v>
      </c>
      <c r="D40">
        <v>1.8999999761581401</v>
      </c>
      <c r="E40">
        <v>0</v>
      </c>
      <c r="F40">
        <v>0</v>
      </c>
      <c r="G40">
        <v>141</v>
      </c>
      <c r="H40">
        <v>1435</v>
      </c>
      <c r="Q40" s="2"/>
      <c r="V40" s="2"/>
      <c r="Z40" s="2"/>
      <c r="AA40" s="2"/>
      <c r="AB40" s="2"/>
    </row>
    <row r="41" spans="1:28" x14ac:dyDescent="0.25">
      <c r="A41">
        <v>1624580081</v>
      </c>
      <c r="B41" s="1">
        <v>42480</v>
      </c>
      <c r="C41">
        <v>4974</v>
      </c>
      <c r="D41">
        <v>3.2300000190734899</v>
      </c>
      <c r="E41">
        <v>0</v>
      </c>
      <c r="F41">
        <v>0</v>
      </c>
      <c r="G41">
        <v>151</v>
      </c>
      <c r="H41">
        <v>1446</v>
      </c>
      <c r="Q41" s="2"/>
      <c r="V41" s="2"/>
      <c r="Z41" s="2"/>
      <c r="AA41" s="2"/>
      <c r="AB41" s="2"/>
    </row>
    <row r="42" spans="1:28" x14ac:dyDescent="0.25">
      <c r="A42">
        <v>1624580081</v>
      </c>
      <c r="B42" s="1">
        <v>42481</v>
      </c>
      <c r="C42">
        <v>6349</v>
      </c>
      <c r="D42">
        <v>4.1300001144409197</v>
      </c>
      <c r="E42">
        <v>0</v>
      </c>
      <c r="F42">
        <v>0</v>
      </c>
      <c r="G42">
        <v>186</v>
      </c>
      <c r="H42">
        <v>1467</v>
      </c>
      <c r="Q42" s="2"/>
      <c r="V42" s="2"/>
      <c r="Z42" s="2"/>
      <c r="AA42" s="2"/>
      <c r="AB42" s="2"/>
    </row>
    <row r="43" spans="1:28" x14ac:dyDescent="0.25">
      <c r="A43">
        <v>1624580081</v>
      </c>
      <c r="B43" s="1">
        <v>42482</v>
      </c>
      <c r="C43">
        <v>4026</v>
      </c>
      <c r="D43">
        <v>2.6199998855590798</v>
      </c>
      <c r="E43">
        <v>0</v>
      </c>
      <c r="F43">
        <v>0</v>
      </c>
      <c r="G43">
        <v>199</v>
      </c>
      <c r="H43">
        <v>1470</v>
      </c>
      <c r="Q43" s="2"/>
      <c r="V43" s="2"/>
      <c r="Z43" s="2"/>
      <c r="AA43" s="2"/>
      <c r="AB43" s="2"/>
    </row>
    <row r="44" spans="1:28" x14ac:dyDescent="0.25">
      <c r="A44">
        <v>1624580081</v>
      </c>
      <c r="B44" s="1">
        <v>42483</v>
      </c>
      <c r="C44">
        <v>8538</v>
      </c>
      <c r="D44">
        <v>5.5500001907348597</v>
      </c>
      <c r="E44">
        <v>0</v>
      </c>
      <c r="F44">
        <v>0</v>
      </c>
      <c r="G44">
        <v>227</v>
      </c>
      <c r="H44">
        <v>1562</v>
      </c>
      <c r="Q44" s="2"/>
      <c r="V44" s="2"/>
      <c r="Z44" s="2"/>
      <c r="AA44" s="2"/>
      <c r="AB44" s="2"/>
    </row>
    <row r="45" spans="1:28" x14ac:dyDescent="0.25">
      <c r="A45">
        <v>1624580081</v>
      </c>
      <c r="B45" s="1">
        <v>42484</v>
      </c>
      <c r="C45">
        <v>6076</v>
      </c>
      <c r="D45">
        <v>3.9500000476837198</v>
      </c>
      <c r="E45">
        <v>16</v>
      </c>
      <c r="F45">
        <v>18</v>
      </c>
      <c r="G45">
        <v>185</v>
      </c>
      <c r="H45">
        <v>1617</v>
      </c>
      <c r="Q45" s="2"/>
      <c r="V45" s="2"/>
      <c r="Z45" s="2"/>
      <c r="AA45" s="2"/>
      <c r="AB45" s="2"/>
    </row>
    <row r="46" spans="1:28" x14ac:dyDescent="0.25">
      <c r="A46">
        <v>1624580081</v>
      </c>
      <c r="B46" s="1">
        <v>42485</v>
      </c>
      <c r="C46">
        <v>6497</v>
      </c>
      <c r="D46">
        <v>4.2199997901916504</v>
      </c>
      <c r="E46">
        <v>0</v>
      </c>
      <c r="F46">
        <v>0</v>
      </c>
      <c r="G46">
        <v>202</v>
      </c>
      <c r="H46">
        <v>1492</v>
      </c>
      <c r="Q46" s="2"/>
      <c r="V46" s="2"/>
      <c r="Z46" s="2"/>
      <c r="AA46" s="2"/>
      <c r="AB46" s="2"/>
    </row>
    <row r="47" spans="1:28" x14ac:dyDescent="0.25">
      <c r="A47">
        <v>1624580081</v>
      </c>
      <c r="B47" s="1">
        <v>42486</v>
      </c>
      <c r="C47">
        <v>2826</v>
      </c>
      <c r="D47">
        <v>1.8400000333786</v>
      </c>
      <c r="E47">
        <v>0</v>
      </c>
      <c r="F47">
        <v>0</v>
      </c>
      <c r="G47">
        <v>140</v>
      </c>
      <c r="H47">
        <v>1402</v>
      </c>
      <c r="Q47" s="2"/>
      <c r="V47" s="2"/>
      <c r="Z47" s="2"/>
      <c r="AA47" s="2"/>
      <c r="AB47" s="2"/>
    </row>
    <row r="48" spans="1:28" x14ac:dyDescent="0.25">
      <c r="A48">
        <v>1624580081</v>
      </c>
      <c r="B48" s="1">
        <v>42487</v>
      </c>
      <c r="C48">
        <v>8367</v>
      </c>
      <c r="D48">
        <v>5.4400000572204599</v>
      </c>
      <c r="E48">
        <v>17</v>
      </c>
      <c r="F48">
        <v>36</v>
      </c>
      <c r="G48">
        <v>154</v>
      </c>
      <c r="H48">
        <v>1670</v>
      </c>
      <c r="Q48" s="2"/>
      <c r="V48" s="2"/>
      <c r="Z48" s="2"/>
      <c r="AA48" s="2"/>
      <c r="AB48" s="2"/>
    </row>
    <row r="49" spans="1:28" x14ac:dyDescent="0.25">
      <c r="A49">
        <v>1624580081</v>
      </c>
      <c r="B49" s="1">
        <v>42488</v>
      </c>
      <c r="C49">
        <v>2759</v>
      </c>
      <c r="D49">
        <v>1.78999996185303</v>
      </c>
      <c r="E49">
        <v>0</v>
      </c>
      <c r="F49">
        <v>5</v>
      </c>
      <c r="G49">
        <v>115</v>
      </c>
      <c r="H49">
        <v>1401</v>
      </c>
      <c r="Q49" s="2"/>
      <c r="V49" s="2"/>
      <c r="Z49" s="2"/>
      <c r="AA49" s="2"/>
      <c r="AB49" s="2"/>
    </row>
    <row r="50" spans="1:28" x14ac:dyDescent="0.25">
      <c r="A50">
        <v>1624580081</v>
      </c>
      <c r="B50" s="1">
        <v>42489</v>
      </c>
      <c r="C50">
        <v>2390</v>
      </c>
      <c r="D50">
        <v>1.54999995231628</v>
      </c>
      <c r="E50">
        <v>0</v>
      </c>
      <c r="F50">
        <v>0</v>
      </c>
      <c r="G50">
        <v>150</v>
      </c>
      <c r="H50">
        <v>1404</v>
      </c>
      <c r="Q50" s="2"/>
      <c r="V50" s="2"/>
      <c r="Z50" s="2"/>
      <c r="AA50" s="2"/>
      <c r="AB50" s="2"/>
    </row>
    <row r="51" spans="1:28" x14ac:dyDescent="0.25">
      <c r="A51">
        <v>1624580081</v>
      </c>
      <c r="B51" s="1">
        <v>42490</v>
      </c>
      <c r="C51">
        <v>6474</v>
      </c>
      <c r="D51">
        <v>4.3000001907348597</v>
      </c>
      <c r="E51">
        <v>11</v>
      </c>
      <c r="F51">
        <v>23</v>
      </c>
      <c r="G51">
        <v>224</v>
      </c>
      <c r="H51">
        <v>1655</v>
      </c>
      <c r="Q51" s="2"/>
      <c r="V51" s="2"/>
      <c r="Z51" s="2"/>
      <c r="AA51" s="2"/>
      <c r="AB51" s="2"/>
    </row>
    <row r="52" spans="1:28" x14ac:dyDescent="0.25">
      <c r="A52">
        <v>1624580081</v>
      </c>
      <c r="B52" s="1">
        <v>42491</v>
      </c>
      <c r="C52">
        <v>36019</v>
      </c>
      <c r="D52">
        <v>28.030000686645501</v>
      </c>
      <c r="E52">
        <v>186</v>
      </c>
      <c r="F52">
        <v>63</v>
      </c>
      <c r="G52">
        <v>171</v>
      </c>
      <c r="H52">
        <v>2690</v>
      </c>
      <c r="Q52" s="2"/>
      <c r="V52" s="2"/>
      <c r="Z52" s="2"/>
      <c r="AA52" s="2"/>
      <c r="AB52" s="2"/>
    </row>
    <row r="53" spans="1:28" x14ac:dyDescent="0.25">
      <c r="A53">
        <v>1624580081</v>
      </c>
      <c r="B53" s="1">
        <v>42492</v>
      </c>
      <c r="C53">
        <v>7155</v>
      </c>
      <c r="D53">
        <v>4.9299998283386204</v>
      </c>
      <c r="E53">
        <v>7</v>
      </c>
      <c r="F53">
        <v>6</v>
      </c>
      <c r="G53">
        <v>166</v>
      </c>
      <c r="H53">
        <v>1497</v>
      </c>
      <c r="Q53" s="2"/>
      <c r="V53" s="2"/>
      <c r="Z53" s="2"/>
      <c r="AA53" s="2"/>
      <c r="AB53" s="2"/>
    </row>
    <row r="54" spans="1:28" x14ac:dyDescent="0.25">
      <c r="A54">
        <v>1624580081</v>
      </c>
      <c r="B54" s="1">
        <v>42493</v>
      </c>
      <c r="C54">
        <v>2100</v>
      </c>
      <c r="D54">
        <v>1.37000000476837</v>
      </c>
      <c r="E54">
        <v>0</v>
      </c>
      <c r="F54">
        <v>0</v>
      </c>
      <c r="G54">
        <v>96</v>
      </c>
      <c r="H54">
        <v>1334</v>
      </c>
      <c r="Q54" s="2"/>
      <c r="V54" s="2"/>
      <c r="Z54" s="2"/>
      <c r="AA54" s="2"/>
      <c r="AB54" s="2"/>
    </row>
    <row r="55" spans="1:28" x14ac:dyDescent="0.25">
      <c r="A55">
        <v>1624580081</v>
      </c>
      <c r="B55" s="1">
        <v>42494</v>
      </c>
      <c r="C55">
        <v>2193</v>
      </c>
      <c r="D55">
        <v>1.4299999475479099</v>
      </c>
      <c r="E55">
        <v>0</v>
      </c>
      <c r="F55">
        <v>0</v>
      </c>
      <c r="G55">
        <v>118</v>
      </c>
      <c r="H55">
        <v>1368</v>
      </c>
      <c r="Q55" s="2"/>
      <c r="V55" s="2"/>
      <c r="Z55" s="2"/>
      <c r="AA55" s="2"/>
      <c r="AB55" s="2"/>
    </row>
    <row r="56" spans="1:28" x14ac:dyDescent="0.25">
      <c r="A56">
        <v>1624580081</v>
      </c>
      <c r="B56" s="1">
        <v>42495</v>
      </c>
      <c r="C56">
        <v>2470</v>
      </c>
      <c r="D56">
        <v>1.6100000143051101</v>
      </c>
      <c r="E56">
        <v>0</v>
      </c>
      <c r="F56">
        <v>0</v>
      </c>
      <c r="G56">
        <v>117</v>
      </c>
      <c r="H56">
        <v>1370</v>
      </c>
      <c r="Q56" s="2"/>
      <c r="V56" s="2"/>
      <c r="Z56" s="2"/>
      <c r="AA56" s="2"/>
      <c r="AB56" s="2"/>
    </row>
    <row r="57" spans="1:28" x14ac:dyDescent="0.25">
      <c r="A57">
        <v>1624580081</v>
      </c>
      <c r="B57" s="1">
        <v>42496</v>
      </c>
      <c r="C57">
        <v>1727</v>
      </c>
      <c r="D57">
        <v>1.12000000476837</v>
      </c>
      <c r="E57">
        <v>0</v>
      </c>
      <c r="F57">
        <v>0</v>
      </c>
      <c r="G57">
        <v>102</v>
      </c>
      <c r="H57">
        <v>1341</v>
      </c>
      <c r="Q57" s="2"/>
      <c r="V57" s="2"/>
      <c r="Z57" s="2"/>
      <c r="AA57" s="2"/>
      <c r="AB57" s="2"/>
    </row>
    <row r="58" spans="1:28" x14ac:dyDescent="0.25">
      <c r="A58">
        <v>1624580081</v>
      </c>
      <c r="B58" s="1">
        <v>42497</v>
      </c>
      <c r="C58">
        <v>2104</v>
      </c>
      <c r="D58">
        <v>1.37000000476837</v>
      </c>
      <c r="E58">
        <v>0</v>
      </c>
      <c r="F58">
        <v>0</v>
      </c>
      <c r="G58">
        <v>182</v>
      </c>
      <c r="H58">
        <v>1474</v>
      </c>
      <c r="Q58" s="2"/>
      <c r="V58" s="2"/>
      <c r="Z58" s="2"/>
      <c r="AA58" s="2"/>
      <c r="AB58" s="2"/>
    </row>
    <row r="59" spans="1:28" x14ac:dyDescent="0.25">
      <c r="A59">
        <v>1624580081</v>
      </c>
      <c r="B59" s="1">
        <v>42498</v>
      </c>
      <c r="C59">
        <v>3427</v>
      </c>
      <c r="D59">
        <v>2.2300000190734899</v>
      </c>
      <c r="E59">
        <v>0</v>
      </c>
      <c r="F59">
        <v>0</v>
      </c>
      <c r="G59">
        <v>152</v>
      </c>
      <c r="H59">
        <v>1427</v>
      </c>
      <c r="Q59" s="2"/>
      <c r="V59" s="2"/>
      <c r="Z59" s="2"/>
      <c r="AA59" s="2"/>
      <c r="AB59" s="2"/>
    </row>
    <row r="60" spans="1:28" x14ac:dyDescent="0.25">
      <c r="A60">
        <v>1624580081</v>
      </c>
      <c r="B60" s="1">
        <v>42499</v>
      </c>
      <c r="C60">
        <v>1732</v>
      </c>
      <c r="D60">
        <v>1.12999999523163</v>
      </c>
      <c r="E60">
        <v>0</v>
      </c>
      <c r="F60">
        <v>0</v>
      </c>
      <c r="G60">
        <v>91</v>
      </c>
      <c r="H60">
        <v>1328</v>
      </c>
      <c r="Q60" s="2"/>
      <c r="V60" s="2"/>
      <c r="Z60" s="2"/>
      <c r="AA60" s="2"/>
      <c r="AB60" s="2"/>
    </row>
    <row r="61" spans="1:28" x14ac:dyDescent="0.25">
      <c r="A61">
        <v>1624580081</v>
      </c>
      <c r="B61" s="1">
        <v>42500</v>
      </c>
      <c r="C61">
        <v>2969</v>
      </c>
      <c r="D61">
        <v>1.9299999475479099</v>
      </c>
      <c r="E61">
        <v>0</v>
      </c>
      <c r="F61">
        <v>0</v>
      </c>
      <c r="G61">
        <v>139</v>
      </c>
      <c r="H61">
        <v>1393</v>
      </c>
      <c r="Q61" s="2"/>
      <c r="V61" s="2"/>
      <c r="Z61" s="2"/>
      <c r="AA61" s="2"/>
      <c r="AB61" s="2"/>
    </row>
    <row r="62" spans="1:28" x14ac:dyDescent="0.25">
      <c r="A62">
        <v>1624580081</v>
      </c>
      <c r="B62" s="1">
        <v>42501</v>
      </c>
      <c r="C62">
        <v>3134</v>
      </c>
      <c r="D62">
        <v>2.03999996185303</v>
      </c>
      <c r="E62">
        <v>0</v>
      </c>
      <c r="F62">
        <v>0</v>
      </c>
      <c r="G62">
        <v>112</v>
      </c>
      <c r="H62">
        <v>1359</v>
      </c>
      <c r="Q62" s="2"/>
      <c r="V62" s="2"/>
      <c r="Z62" s="2"/>
      <c r="AA62" s="2"/>
      <c r="AB62" s="2"/>
    </row>
    <row r="63" spans="1:28" x14ac:dyDescent="0.25">
      <c r="A63">
        <v>1624580081</v>
      </c>
      <c r="B63" s="1">
        <v>42502</v>
      </c>
      <c r="C63">
        <v>2971</v>
      </c>
      <c r="D63">
        <v>1.9299999475479099</v>
      </c>
      <c r="E63">
        <v>0</v>
      </c>
      <c r="F63">
        <v>0</v>
      </c>
      <c r="G63">
        <v>107</v>
      </c>
      <c r="H63">
        <v>1002</v>
      </c>
      <c r="Q63" s="2"/>
      <c r="V63" s="2"/>
      <c r="Z63" s="2"/>
      <c r="AA63" s="2"/>
      <c r="AB63" s="2"/>
    </row>
    <row r="64" spans="1:28" x14ac:dyDescent="0.25">
      <c r="A64">
        <v>1644430081</v>
      </c>
      <c r="B64" s="1">
        <v>42472</v>
      </c>
      <c r="C64">
        <v>10694</v>
      </c>
      <c r="D64">
        <v>7.7699999809265101</v>
      </c>
      <c r="E64">
        <v>2</v>
      </c>
      <c r="F64">
        <v>51</v>
      </c>
      <c r="G64">
        <v>256</v>
      </c>
      <c r="H64">
        <v>3199</v>
      </c>
      <c r="Q64" s="2"/>
      <c r="V64" s="2"/>
      <c r="Z64" s="2"/>
      <c r="AA64" s="2"/>
      <c r="AB64" s="2"/>
    </row>
    <row r="65" spans="1:28" x14ac:dyDescent="0.25">
      <c r="A65">
        <v>1644430081</v>
      </c>
      <c r="B65" s="1">
        <v>42473</v>
      </c>
      <c r="C65">
        <v>8001</v>
      </c>
      <c r="D65">
        <v>5.8200001716613796</v>
      </c>
      <c r="E65">
        <v>30</v>
      </c>
      <c r="F65">
        <v>16</v>
      </c>
      <c r="G65">
        <v>135</v>
      </c>
      <c r="H65">
        <v>2902</v>
      </c>
      <c r="Q65" s="2"/>
      <c r="V65" s="2"/>
      <c r="Z65" s="2"/>
      <c r="AA65" s="2"/>
      <c r="AB65" s="2"/>
    </row>
    <row r="66" spans="1:28" x14ac:dyDescent="0.25">
      <c r="A66">
        <v>1644430081</v>
      </c>
      <c r="B66" s="1">
        <v>42474</v>
      </c>
      <c r="C66">
        <v>11037</v>
      </c>
      <c r="D66">
        <v>8.0200004577636701</v>
      </c>
      <c r="E66">
        <v>5</v>
      </c>
      <c r="F66">
        <v>58</v>
      </c>
      <c r="G66">
        <v>252</v>
      </c>
      <c r="H66">
        <v>3226</v>
      </c>
      <c r="Q66" s="2"/>
      <c r="V66" s="2"/>
      <c r="Z66" s="2"/>
      <c r="AA66" s="2"/>
      <c r="AB66" s="2"/>
    </row>
    <row r="67" spans="1:28" x14ac:dyDescent="0.25">
      <c r="A67">
        <v>1644430081</v>
      </c>
      <c r="B67" s="1">
        <v>42475</v>
      </c>
      <c r="C67">
        <v>5263</v>
      </c>
      <c r="D67">
        <v>3.8299999237060498</v>
      </c>
      <c r="E67">
        <v>3</v>
      </c>
      <c r="F67">
        <v>4</v>
      </c>
      <c r="G67">
        <v>170</v>
      </c>
      <c r="H67">
        <v>2750</v>
      </c>
      <c r="Q67" s="2"/>
      <c r="V67" s="2"/>
      <c r="Z67" s="2"/>
      <c r="AA67" s="2"/>
      <c r="AB67" s="2"/>
    </row>
    <row r="68" spans="1:28" x14ac:dyDescent="0.25">
      <c r="A68">
        <v>1644430081</v>
      </c>
      <c r="B68" s="1">
        <v>42476</v>
      </c>
      <c r="C68">
        <v>15300</v>
      </c>
      <c r="D68">
        <v>11.1199998855591</v>
      </c>
      <c r="E68">
        <v>51</v>
      </c>
      <c r="F68">
        <v>42</v>
      </c>
      <c r="G68">
        <v>212</v>
      </c>
      <c r="H68">
        <v>3493</v>
      </c>
      <c r="Q68" s="2"/>
      <c r="V68" s="2"/>
      <c r="Z68" s="2"/>
      <c r="AA68" s="2"/>
      <c r="AB68" s="2"/>
    </row>
    <row r="69" spans="1:28" x14ac:dyDescent="0.25">
      <c r="A69">
        <v>1644430081</v>
      </c>
      <c r="B69" s="1">
        <v>42477</v>
      </c>
      <c r="C69">
        <v>8757</v>
      </c>
      <c r="D69">
        <v>6.3699998855590803</v>
      </c>
      <c r="E69">
        <v>29</v>
      </c>
      <c r="F69">
        <v>13</v>
      </c>
      <c r="G69">
        <v>186</v>
      </c>
      <c r="H69">
        <v>3011</v>
      </c>
      <c r="Q69" s="2"/>
      <c r="V69" s="2"/>
      <c r="Z69" s="2"/>
      <c r="AA69" s="2"/>
      <c r="AB69" s="2"/>
    </row>
    <row r="70" spans="1:28" x14ac:dyDescent="0.25">
      <c r="A70">
        <v>1644430081</v>
      </c>
      <c r="B70" s="1">
        <v>42478</v>
      </c>
      <c r="C70">
        <v>7132</v>
      </c>
      <c r="D70">
        <v>5.1900000572204599</v>
      </c>
      <c r="E70">
        <v>15</v>
      </c>
      <c r="F70">
        <v>33</v>
      </c>
      <c r="G70">
        <v>121</v>
      </c>
      <c r="H70">
        <v>2806</v>
      </c>
      <c r="Q70" s="2"/>
      <c r="V70" s="2"/>
      <c r="Z70" s="2"/>
      <c r="AA70" s="2"/>
      <c r="AB70" s="2"/>
    </row>
    <row r="71" spans="1:28" x14ac:dyDescent="0.25">
      <c r="A71">
        <v>1644430081</v>
      </c>
      <c r="B71" s="1">
        <v>42479</v>
      </c>
      <c r="C71">
        <v>11256</v>
      </c>
      <c r="D71">
        <v>8.1800003051757795</v>
      </c>
      <c r="E71">
        <v>5</v>
      </c>
      <c r="F71">
        <v>58</v>
      </c>
      <c r="G71">
        <v>278</v>
      </c>
      <c r="H71">
        <v>3300</v>
      </c>
      <c r="Q71" s="2"/>
      <c r="V71" s="2"/>
      <c r="Z71" s="2"/>
      <c r="AA71" s="2"/>
      <c r="AB71" s="2"/>
    </row>
    <row r="72" spans="1:28" x14ac:dyDescent="0.25">
      <c r="A72">
        <v>1644430081</v>
      </c>
      <c r="B72" s="1">
        <v>42480</v>
      </c>
      <c r="C72">
        <v>2436</v>
      </c>
      <c r="D72">
        <v>1.7699999809265099</v>
      </c>
      <c r="E72">
        <v>0</v>
      </c>
      <c r="F72">
        <v>0</v>
      </c>
      <c r="G72">
        <v>125</v>
      </c>
      <c r="H72">
        <v>2430</v>
      </c>
      <c r="Q72" s="2"/>
      <c r="V72" s="2"/>
      <c r="Z72" s="2"/>
      <c r="AA72" s="2"/>
      <c r="AB72" s="2"/>
    </row>
    <row r="73" spans="1:28" x14ac:dyDescent="0.25">
      <c r="A73">
        <v>1644430081</v>
      </c>
      <c r="B73" s="1">
        <v>42481</v>
      </c>
      <c r="C73">
        <v>1223</v>
      </c>
      <c r="D73">
        <v>0.88999998569488503</v>
      </c>
      <c r="E73">
        <v>0</v>
      </c>
      <c r="F73">
        <v>0</v>
      </c>
      <c r="G73">
        <v>38</v>
      </c>
      <c r="H73">
        <v>2140</v>
      </c>
      <c r="Q73" s="2"/>
      <c r="V73" s="2"/>
      <c r="Z73" s="2"/>
      <c r="AA73" s="2"/>
      <c r="AB73" s="2"/>
    </row>
    <row r="74" spans="1:28" x14ac:dyDescent="0.25">
      <c r="A74">
        <v>1644430081</v>
      </c>
      <c r="B74" s="1">
        <v>42482</v>
      </c>
      <c r="C74">
        <v>3673</v>
      </c>
      <c r="D74">
        <v>2.6700000762939502</v>
      </c>
      <c r="E74">
        <v>0</v>
      </c>
      <c r="F74">
        <v>0</v>
      </c>
      <c r="G74">
        <v>86</v>
      </c>
      <c r="H74">
        <v>2344</v>
      </c>
      <c r="Q74" s="2"/>
      <c r="V74" s="2"/>
      <c r="Z74" s="2"/>
      <c r="AA74" s="2"/>
      <c r="AB74" s="2"/>
    </row>
    <row r="75" spans="1:28" x14ac:dyDescent="0.25">
      <c r="A75">
        <v>1644430081</v>
      </c>
      <c r="B75" s="1">
        <v>42483</v>
      </c>
      <c r="C75">
        <v>6637</v>
      </c>
      <c r="D75">
        <v>4.8299999237060502</v>
      </c>
      <c r="E75">
        <v>0</v>
      </c>
      <c r="F75">
        <v>15</v>
      </c>
      <c r="G75">
        <v>160</v>
      </c>
      <c r="H75">
        <v>2677</v>
      </c>
      <c r="Q75" s="2"/>
      <c r="V75" s="2"/>
      <c r="Z75" s="2"/>
      <c r="AA75" s="2"/>
      <c r="AB75" s="2"/>
    </row>
    <row r="76" spans="1:28" x14ac:dyDescent="0.25">
      <c r="A76">
        <v>1644430081</v>
      </c>
      <c r="B76" s="1">
        <v>42484</v>
      </c>
      <c r="C76">
        <v>3321</v>
      </c>
      <c r="D76">
        <v>2.4100000858306898</v>
      </c>
      <c r="E76">
        <v>0</v>
      </c>
      <c r="F76">
        <v>0</v>
      </c>
      <c r="G76">
        <v>89</v>
      </c>
      <c r="H76">
        <v>2413</v>
      </c>
      <c r="Q76" s="2"/>
      <c r="V76" s="2"/>
      <c r="Z76" s="2"/>
      <c r="AA76" s="2"/>
      <c r="AB76" s="2"/>
    </row>
    <row r="77" spans="1:28" x14ac:dyDescent="0.25">
      <c r="A77">
        <v>1644430081</v>
      </c>
      <c r="B77" s="1">
        <v>42485</v>
      </c>
      <c r="C77">
        <v>3580</v>
      </c>
      <c r="D77">
        <v>2.5999999046325701</v>
      </c>
      <c r="E77">
        <v>8</v>
      </c>
      <c r="F77">
        <v>1</v>
      </c>
      <c r="G77">
        <v>94</v>
      </c>
      <c r="H77">
        <v>2497</v>
      </c>
      <c r="Q77" s="2"/>
      <c r="V77" s="2"/>
      <c r="Z77" s="2"/>
      <c r="AA77" s="2"/>
      <c r="AB77" s="2"/>
    </row>
    <row r="78" spans="1:28" x14ac:dyDescent="0.25">
      <c r="A78">
        <v>1644430081</v>
      </c>
      <c r="B78" s="1">
        <v>42486</v>
      </c>
      <c r="C78">
        <v>9919</v>
      </c>
      <c r="D78">
        <v>7.21000003814697</v>
      </c>
      <c r="E78">
        <v>11</v>
      </c>
      <c r="F78">
        <v>41</v>
      </c>
      <c r="G78">
        <v>223</v>
      </c>
      <c r="H78">
        <v>3123</v>
      </c>
      <c r="Q78" s="2"/>
      <c r="V78" s="2"/>
      <c r="Z78" s="2"/>
      <c r="AA78" s="2"/>
      <c r="AB78" s="2"/>
    </row>
    <row r="79" spans="1:28" x14ac:dyDescent="0.25">
      <c r="A79">
        <v>1644430081</v>
      </c>
      <c r="B79" s="1">
        <v>42487</v>
      </c>
      <c r="C79">
        <v>3032</v>
      </c>
      <c r="D79">
        <v>2.2000000476837198</v>
      </c>
      <c r="E79">
        <v>0</v>
      </c>
      <c r="F79">
        <v>0</v>
      </c>
      <c r="G79">
        <v>118</v>
      </c>
      <c r="H79">
        <v>2489</v>
      </c>
      <c r="Q79" s="2"/>
      <c r="V79" s="2"/>
      <c r="Z79" s="2"/>
      <c r="AA79" s="2"/>
      <c r="AB79" s="2"/>
    </row>
    <row r="80" spans="1:28" x14ac:dyDescent="0.25">
      <c r="A80">
        <v>1644430081</v>
      </c>
      <c r="B80" s="1">
        <v>42488</v>
      </c>
      <c r="C80">
        <v>9405</v>
      </c>
      <c r="D80">
        <v>6.8400001525878897</v>
      </c>
      <c r="E80">
        <v>3</v>
      </c>
      <c r="F80">
        <v>53</v>
      </c>
      <c r="G80">
        <v>227</v>
      </c>
      <c r="H80">
        <v>3108</v>
      </c>
      <c r="Q80" s="2"/>
      <c r="V80" s="2"/>
      <c r="Z80" s="2"/>
      <c r="AA80" s="2"/>
      <c r="AB80" s="2"/>
    </row>
    <row r="81" spans="1:28" x14ac:dyDescent="0.25">
      <c r="A81">
        <v>1644430081</v>
      </c>
      <c r="B81" s="1">
        <v>42489</v>
      </c>
      <c r="C81">
        <v>3176</v>
      </c>
      <c r="D81">
        <v>2.3099999427795401</v>
      </c>
      <c r="E81">
        <v>0</v>
      </c>
      <c r="F81">
        <v>0</v>
      </c>
      <c r="G81">
        <v>120</v>
      </c>
      <c r="H81">
        <v>2498</v>
      </c>
      <c r="Q81" s="2"/>
      <c r="V81" s="2"/>
      <c r="Z81" s="2"/>
      <c r="AA81" s="2"/>
      <c r="AB81" s="2"/>
    </row>
    <row r="82" spans="1:28" x14ac:dyDescent="0.25">
      <c r="A82">
        <v>1644430081</v>
      </c>
      <c r="B82" s="1">
        <v>42490</v>
      </c>
      <c r="C82">
        <v>18213</v>
      </c>
      <c r="D82">
        <v>13.2399997711182</v>
      </c>
      <c r="E82">
        <v>9</v>
      </c>
      <c r="F82">
        <v>71</v>
      </c>
      <c r="G82">
        <v>402</v>
      </c>
      <c r="H82">
        <v>3846</v>
      </c>
      <c r="Q82" s="2"/>
      <c r="V82" s="2"/>
      <c r="Z82" s="2"/>
      <c r="AA82" s="2"/>
      <c r="AB82" s="2"/>
    </row>
    <row r="83" spans="1:28" x14ac:dyDescent="0.25">
      <c r="A83">
        <v>1644430081</v>
      </c>
      <c r="B83" s="1">
        <v>42491</v>
      </c>
      <c r="C83">
        <v>6132</v>
      </c>
      <c r="D83">
        <v>4.46000003814697</v>
      </c>
      <c r="E83">
        <v>3</v>
      </c>
      <c r="F83">
        <v>24</v>
      </c>
      <c r="G83">
        <v>146</v>
      </c>
      <c r="H83">
        <v>2696</v>
      </c>
      <c r="Q83" s="2"/>
      <c r="V83" s="2"/>
      <c r="Z83" s="2"/>
      <c r="AA83" s="2"/>
      <c r="AB83" s="2"/>
    </row>
    <row r="84" spans="1:28" x14ac:dyDescent="0.25">
      <c r="A84">
        <v>1644430081</v>
      </c>
      <c r="B84" s="1">
        <v>42492</v>
      </c>
      <c r="C84">
        <v>3758</v>
      </c>
      <c r="D84">
        <v>2.7300000190734899</v>
      </c>
      <c r="E84">
        <v>1</v>
      </c>
      <c r="F84">
        <v>7</v>
      </c>
      <c r="G84">
        <v>148</v>
      </c>
      <c r="H84">
        <v>2580</v>
      </c>
      <c r="Q84" s="2"/>
      <c r="V84" s="2"/>
      <c r="Z84" s="2"/>
      <c r="AA84" s="2"/>
      <c r="AB84" s="2"/>
    </row>
    <row r="85" spans="1:28" x14ac:dyDescent="0.25">
      <c r="A85">
        <v>1644430081</v>
      </c>
      <c r="B85" s="1">
        <v>42493</v>
      </c>
      <c r="C85">
        <v>12850</v>
      </c>
      <c r="D85">
        <v>9.3400001525878906</v>
      </c>
      <c r="E85">
        <v>10</v>
      </c>
      <c r="F85">
        <v>94</v>
      </c>
      <c r="G85">
        <v>221</v>
      </c>
      <c r="H85">
        <v>3324</v>
      </c>
      <c r="Q85" s="2"/>
      <c r="V85" s="2"/>
      <c r="Z85" s="2"/>
      <c r="AA85" s="2"/>
      <c r="AB85" s="2"/>
    </row>
    <row r="86" spans="1:28" x14ac:dyDescent="0.25">
      <c r="A86">
        <v>1644430081</v>
      </c>
      <c r="B86" s="1">
        <v>42494</v>
      </c>
      <c r="C86">
        <v>2309</v>
      </c>
      <c r="D86">
        <v>1.6799999475479099</v>
      </c>
      <c r="E86">
        <v>0</v>
      </c>
      <c r="F86">
        <v>0</v>
      </c>
      <c r="G86">
        <v>52</v>
      </c>
      <c r="H86">
        <v>2222</v>
      </c>
      <c r="Q86" s="2"/>
      <c r="V86" s="2"/>
      <c r="Z86" s="2"/>
      <c r="AA86" s="2"/>
      <c r="AB86" s="2"/>
    </row>
    <row r="87" spans="1:28" x14ac:dyDescent="0.25">
      <c r="A87">
        <v>1644430081</v>
      </c>
      <c r="B87" s="1">
        <v>42495</v>
      </c>
      <c r="C87">
        <v>4363</v>
      </c>
      <c r="D87">
        <v>3.1900000572204599</v>
      </c>
      <c r="E87">
        <v>6</v>
      </c>
      <c r="F87">
        <v>12</v>
      </c>
      <c r="G87">
        <v>81</v>
      </c>
      <c r="H87">
        <v>2463</v>
      </c>
      <c r="Q87" s="2"/>
      <c r="V87" s="2"/>
      <c r="Z87" s="2"/>
      <c r="AA87" s="2"/>
      <c r="AB87" s="2"/>
    </row>
    <row r="88" spans="1:28" x14ac:dyDescent="0.25">
      <c r="A88">
        <v>1644430081</v>
      </c>
      <c r="B88" s="1">
        <v>42496</v>
      </c>
      <c r="C88">
        <v>9787</v>
      </c>
      <c r="D88">
        <v>7.1199998855590803</v>
      </c>
      <c r="E88">
        <v>11</v>
      </c>
      <c r="F88">
        <v>6</v>
      </c>
      <c r="G88">
        <v>369</v>
      </c>
      <c r="H88">
        <v>3328</v>
      </c>
      <c r="Q88" s="2"/>
      <c r="V88" s="2"/>
      <c r="Z88" s="2"/>
      <c r="AA88" s="2"/>
      <c r="AB88" s="2"/>
    </row>
    <row r="89" spans="1:28" x14ac:dyDescent="0.25">
      <c r="A89">
        <v>1644430081</v>
      </c>
      <c r="B89" s="1">
        <v>42497</v>
      </c>
      <c r="C89">
        <v>13372</v>
      </c>
      <c r="D89">
        <v>9.7200002670288104</v>
      </c>
      <c r="E89">
        <v>41</v>
      </c>
      <c r="F89">
        <v>17</v>
      </c>
      <c r="G89">
        <v>243</v>
      </c>
      <c r="H89">
        <v>3404</v>
      </c>
      <c r="Q89" s="2"/>
      <c r="V89" s="2"/>
      <c r="Z89" s="2"/>
      <c r="AA89" s="2"/>
      <c r="AB89" s="2"/>
    </row>
    <row r="90" spans="1:28" x14ac:dyDescent="0.25">
      <c r="A90">
        <v>1644430081</v>
      </c>
      <c r="B90" s="1">
        <v>42498</v>
      </c>
      <c r="C90">
        <v>6724</v>
      </c>
      <c r="D90">
        <v>4.8899998664856001</v>
      </c>
      <c r="E90">
        <v>0</v>
      </c>
      <c r="F90">
        <v>0</v>
      </c>
      <c r="G90">
        <v>295</v>
      </c>
      <c r="H90">
        <v>2987</v>
      </c>
      <c r="Q90" s="2"/>
      <c r="V90" s="2"/>
      <c r="Z90" s="2"/>
      <c r="AA90" s="2"/>
      <c r="AB90" s="2"/>
    </row>
    <row r="91" spans="1:28" x14ac:dyDescent="0.25">
      <c r="A91">
        <v>1644430081</v>
      </c>
      <c r="B91" s="1">
        <v>42499</v>
      </c>
      <c r="C91">
        <v>6643</v>
      </c>
      <c r="D91">
        <v>4.8299999237060502</v>
      </c>
      <c r="E91">
        <v>32</v>
      </c>
      <c r="F91">
        <v>6</v>
      </c>
      <c r="G91">
        <v>303</v>
      </c>
      <c r="H91">
        <v>3008</v>
      </c>
      <c r="Q91" s="2"/>
      <c r="V91" s="2"/>
      <c r="Z91" s="2"/>
      <c r="AA91" s="2"/>
      <c r="AB91" s="2"/>
    </row>
    <row r="92" spans="1:28" x14ac:dyDescent="0.25">
      <c r="A92">
        <v>1644430081</v>
      </c>
      <c r="B92" s="1">
        <v>42500</v>
      </c>
      <c r="C92">
        <v>9167</v>
      </c>
      <c r="D92">
        <v>6.6599998474121103</v>
      </c>
      <c r="E92">
        <v>12</v>
      </c>
      <c r="F92">
        <v>19</v>
      </c>
      <c r="G92">
        <v>155</v>
      </c>
      <c r="H92">
        <v>2799</v>
      </c>
      <c r="Q92" s="2"/>
      <c r="V92" s="2"/>
      <c r="Z92" s="2"/>
      <c r="AA92" s="2"/>
      <c r="AB92" s="2"/>
    </row>
    <row r="93" spans="1:28" x14ac:dyDescent="0.25">
      <c r="A93">
        <v>1644430081</v>
      </c>
      <c r="B93" s="1">
        <v>42501</v>
      </c>
      <c r="C93">
        <v>1329</v>
      </c>
      <c r="D93">
        <v>0.97000002861022905</v>
      </c>
      <c r="E93">
        <v>0</v>
      </c>
      <c r="F93">
        <v>0</v>
      </c>
      <c r="G93">
        <v>49</v>
      </c>
      <c r="H93">
        <v>1276</v>
      </c>
      <c r="Q93" s="2"/>
      <c r="V93" s="2"/>
      <c r="Z93" s="2"/>
      <c r="AA93" s="2"/>
      <c r="AB93" s="2"/>
    </row>
    <row r="94" spans="1:28" x14ac:dyDescent="0.25">
      <c r="A94">
        <v>1844505072</v>
      </c>
      <c r="B94" s="1">
        <v>42472</v>
      </c>
      <c r="C94">
        <v>6697</v>
      </c>
      <c r="D94">
        <v>4.4299998283386204</v>
      </c>
      <c r="E94">
        <v>0</v>
      </c>
      <c r="F94">
        <v>0</v>
      </c>
      <c r="G94">
        <v>339</v>
      </c>
      <c r="H94">
        <v>2030</v>
      </c>
      <c r="Q94" s="2"/>
      <c r="V94" s="2"/>
      <c r="Z94" s="2"/>
      <c r="AA94" s="2"/>
      <c r="AB94" s="2"/>
    </row>
    <row r="95" spans="1:28" x14ac:dyDescent="0.25">
      <c r="A95">
        <v>1844505072</v>
      </c>
      <c r="B95" s="1">
        <v>42473</v>
      </c>
      <c r="C95">
        <v>4929</v>
      </c>
      <c r="D95">
        <v>3.2599999904632599</v>
      </c>
      <c r="E95">
        <v>0</v>
      </c>
      <c r="F95">
        <v>0</v>
      </c>
      <c r="G95">
        <v>248</v>
      </c>
      <c r="H95">
        <v>1860</v>
      </c>
      <c r="Q95" s="2"/>
      <c r="V95" s="2"/>
      <c r="Z95" s="2"/>
      <c r="AA95" s="2"/>
      <c r="AB95" s="2"/>
    </row>
    <row r="96" spans="1:28" x14ac:dyDescent="0.25">
      <c r="A96">
        <v>1844505072</v>
      </c>
      <c r="B96" s="1">
        <v>42474</v>
      </c>
      <c r="C96">
        <v>7937</v>
      </c>
      <c r="D96">
        <v>5.25</v>
      </c>
      <c r="E96">
        <v>0</v>
      </c>
      <c r="F96">
        <v>0</v>
      </c>
      <c r="G96">
        <v>373</v>
      </c>
      <c r="H96">
        <v>2130</v>
      </c>
      <c r="Q96" s="2"/>
      <c r="V96" s="2"/>
      <c r="Z96" s="2"/>
      <c r="AA96" s="2"/>
      <c r="AB96" s="2"/>
    </row>
    <row r="97" spans="1:28" x14ac:dyDescent="0.25">
      <c r="A97">
        <v>1844505072</v>
      </c>
      <c r="B97" s="1">
        <v>42475</v>
      </c>
      <c r="C97">
        <v>3844</v>
      </c>
      <c r="D97">
        <v>2.53999996185303</v>
      </c>
      <c r="E97">
        <v>0</v>
      </c>
      <c r="F97">
        <v>0</v>
      </c>
      <c r="G97">
        <v>176</v>
      </c>
      <c r="H97">
        <v>1725</v>
      </c>
      <c r="Q97" s="2"/>
      <c r="V97" s="2"/>
      <c r="Z97" s="2"/>
      <c r="AA97" s="2"/>
      <c r="AB97" s="2"/>
    </row>
    <row r="98" spans="1:28" x14ac:dyDescent="0.25">
      <c r="A98">
        <v>1844505072</v>
      </c>
      <c r="B98" s="1">
        <v>42476</v>
      </c>
      <c r="C98">
        <v>3414</v>
      </c>
      <c r="D98">
        <v>2.2599999904632599</v>
      </c>
      <c r="E98">
        <v>0</v>
      </c>
      <c r="F98">
        <v>0</v>
      </c>
      <c r="G98">
        <v>147</v>
      </c>
      <c r="H98">
        <v>1657</v>
      </c>
      <c r="Q98" s="2"/>
      <c r="V98" s="2"/>
      <c r="Z98" s="2"/>
      <c r="AA98" s="2"/>
      <c r="AB98" s="2"/>
    </row>
    <row r="99" spans="1:28" x14ac:dyDescent="0.25">
      <c r="A99">
        <v>1844505072</v>
      </c>
      <c r="B99" s="1">
        <v>42477</v>
      </c>
      <c r="C99">
        <v>4525</v>
      </c>
      <c r="D99">
        <v>2.9900000095367401</v>
      </c>
      <c r="E99">
        <v>2</v>
      </c>
      <c r="F99">
        <v>8</v>
      </c>
      <c r="G99">
        <v>199</v>
      </c>
      <c r="H99">
        <v>1793</v>
      </c>
      <c r="Q99" s="2"/>
      <c r="V99" s="2"/>
      <c r="Z99" s="2"/>
      <c r="AA99" s="2"/>
      <c r="AB99" s="2"/>
    </row>
    <row r="100" spans="1:28" x14ac:dyDescent="0.25">
      <c r="A100">
        <v>1844505072</v>
      </c>
      <c r="B100" s="1">
        <v>42478</v>
      </c>
      <c r="C100">
        <v>4597</v>
      </c>
      <c r="D100">
        <v>3.03999996185303</v>
      </c>
      <c r="E100">
        <v>0</v>
      </c>
      <c r="F100">
        <v>12</v>
      </c>
      <c r="G100">
        <v>217</v>
      </c>
      <c r="H100">
        <v>1814</v>
      </c>
      <c r="Q100" s="2"/>
      <c r="V100" s="2"/>
      <c r="Z100" s="2"/>
      <c r="AA100" s="2"/>
      <c r="AB100" s="2"/>
    </row>
    <row r="101" spans="1:28" x14ac:dyDescent="0.25">
      <c r="A101">
        <v>1844505072</v>
      </c>
      <c r="B101" s="1">
        <v>42479</v>
      </c>
      <c r="C101">
        <v>197</v>
      </c>
      <c r="D101">
        <v>0.129999995231628</v>
      </c>
      <c r="E101">
        <v>0</v>
      </c>
      <c r="F101">
        <v>0</v>
      </c>
      <c r="G101">
        <v>10</v>
      </c>
      <c r="H101">
        <v>1366</v>
      </c>
      <c r="Q101" s="2"/>
      <c r="V101" s="2"/>
      <c r="Z101" s="2"/>
      <c r="AA101" s="2"/>
      <c r="AB101" s="2"/>
    </row>
    <row r="102" spans="1:28" x14ac:dyDescent="0.25">
      <c r="A102">
        <v>1844505072</v>
      </c>
      <c r="B102" s="1">
        <v>42480</v>
      </c>
      <c r="C102">
        <v>8</v>
      </c>
      <c r="D102">
        <v>9.9999997764825804E-3</v>
      </c>
      <c r="E102">
        <v>0</v>
      </c>
      <c r="F102">
        <v>0</v>
      </c>
      <c r="G102">
        <v>1</v>
      </c>
      <c r="H102">
        <v>1349</v>
      </c>
      <c r="Q102" s="2"/>
      <c r="V102" s="2"/>
      <c r="Z102" s="2"/>
      <c r="AA102" s="2"/>
      <c r="AB102" s="2"/>
    </row>
    <row r="103" spans="1:28" x14ac:dyDescent="0.25">
      <c r="A103">
        <v>1844505072</v>
      </c>
      <c r="B103" s="1">
        <v>42481</v>
      </c>
      <c r="C103">
        <v>8054</v>
      </c>
      <c r="D103">
        <v>5.3200001716613796</v>
      </c>
      <c r="E103">
        <v>2</v>
      </c>
      <c r="F103">
        <v>13</v>
      </c>
      <c r="G103">
        <v>308</v>
      </c>
      <c r="H103">
        <v>2062</v>
      </c>
      <c r="Q103" s="2"/>
      <c r="V103" s="2"/>
      <c r="Z103" s="2"/>
      <c r="AA103" s="2"/>
      <c r="AB103" s="2"/>
    </row>
    <row r="104" spans="1:28" x14ac:dyDescent="0.25">
      <c r="A104">
        <v>1844505072</v>
      </c>
      <c r="B104" s="1">
        <v>42482</v>
      </c>
      <c r="C104">
        <v>5372</v>
      </c>
      <c r="D104">
        <v>3.5499999523162802</v>
      </c>
      <c r="E104">
        <v>0</v>
      </c>
      <c r="F104">
        <v>0</v>
      </c>
      <c r="G104">
        <v>220</v>
      </c>
      <c r="H104">
        <v>1827</v>
      </c>
      <c r="Q104" s="2"/>
      <c r="V104" s="2"/>
      <c r="Z104" s="2"/>
      <c r="AA104" s="2"/>
      <c r="AB104" s="2"/>
    </row>
    <row r="105" spans="1:28" x14ac:dyDescent="0.25">
      <c r="A105">
        <v>1844505072</v>
      </c>
      <c r="B105" s="1">
        <v>42483</v>
      </c>
      <c r="C105">
        <v>3570</v>
      </c>
      <c r="D105">
        <v>2.3599998950958301</v>
      </c>
      <c r="E105">
        <v>0</v>
      </c>
      <c r="F105">
        <v>0</v>
      </c>
      <c r="G105">
        <v>139</v>
      </c>
      <c r="H105">
        <v>1645</v>
      </c>
      <c r="Q105" s="2"/>
      <c r="V105" s="2"/>
      <c r="Z105" s="2"/>
      <c r="AA105" s="2"/>
      <c r="AB105" s="2"/>
    </row>
    <row r="106" spans="1:28" x14ac:dyDescent="0.25">
      <c r="A106">
        <v>1844505072</v>
      </c>
      <c r="B106" s="1">
        <v>42484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1347</v>
      </c>
      <c r="Q106" s="2"/>
      <c r="V106" s="2"/>
      <c r="Z106" s="2"/>
      <c r="AA106" s="2"/>
      <c r="AB106" s="2"/>
    </row>
    <row r="107" spans="1:28" x14ac:dyDescent="0.25">
      <c r="A107">
        <v>1844505072</v>
      </c>
      <c r="B107" s="1">
        <v>42485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1347</v>
      </c>
      <c r="Q107" s="2"/>
      <c r="V107" s="2"/>
      <c r="Z107" s="2"/>
      <c r="AA107" s="2"/>
      <c r="AB107" s="2"/>
    </row>
    <row r="108" spans="1:28" x14ac:dyDescent="0.25">
      <c r="A108">
        <v>1844505072</v>
      </c>
      <c r="B108" s="1">
        <v>42486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1347</v>
      </c>
      <c r="Q108" s="2"/>
      <c r="V108" s="2"/>
      <c r="Z108" s="2"/>
      <c r="AA108" s="2"/>
      <c r="AB108" s="2"/>
    </row>
    <row r="109" spans="1:28" x14ac:dyDescent="0.25">
      <c r="A109">
        <v>1844505072</v>
      </c>
      <c r="B109" s="1">
        <v>42487</v>
      </c>
      <c r="C109">
        <v>4</v>
      </c>
      <c r="D109">
        <v>0</v>
      </c>
      <c r="E109">
        <v>0</v>
      </c>
      <c r="F109">
        <v>0</v>
      </c>
      <c r="G109">
        <v>1</v>
      </c>
      <c r="H109">
        <v>1348</v>
      </c>
      <c r="Q109" s="2"/>
      <c r="V109" s="2"/>
      <c r="Z109" s="2"/>
      <c r="AA109" s="2"/>
      <c r="AB109" s="2"/>
    </row>
    <row r="110" spans="1:28" x14ac:dyDescent="0.25">
      <c r="A110">
        <v>1844505072</v>
      </c>
      <c r="B110" s="1">
        <v>42488</v>
      </c>
      <c r="C110">
        <v>6907</v>
      </c>
      <c r="D110">
        <v>4.5700001716613796</v>
      </c>
      <c r="E110">
        <v>0</v>
      </c>
      <c r="F110">
        <v>0</v>
      </c>
      <c r="G110">
        <v>302</v>
      </c>
      <c r="H110">
        <v>1992</v>
      </c>
      <c r="Q110" s="2"/>
      <c r="V110" s="2"/>
      <c r="Z110" s="2"/>
      <c r="AA110" s="2"/>
      <c r="AB110" s="2"/>
    </row>
    <row r="111" spans="1:28" x14ac:dyDescent="0.25">
      <c r="A111">
        <v>1844505072</v>
      </c>
      <c r="B111" s="1">
        <v>42489</v>
      </c>
      <c r="C111">
        <v>4920</v>
      </c>
      <c r="D111">
        <v>3.25</v>
      </c>
      <c r="E111">
        <v>0</v>
      </c>
      <c r="F111">
        <v>0</v>
      </c>
      <c r="G111">
        <v>247</v>
      </c>
      <c r="H111">
        <v>1856</v>
      </c>
      <c r="Q111" s="2"/>
      <c r="V111" s="2"/>
      <c r="Z111" s="2"/>
      <c r="AA111" s="2"/>
      <c r="AB111" s="2"/>
    </row>
    <row r="112" spans="1:28" x14ac:dyDescent="0.25">
      <c r="A112">
        <v>1844505072</v>
      </c>
      <c r="B112" s="1">
        <v>42490</v>
      </c>
      <c r="C112">
        <v>4014</v>
      </c>
      <c r="D112">
        <v>2.6700000762939502</v>
      </c>
      <c r="E112">
        <v>0</v>
      </c>
      <c r="F112">
        <v>0</v>
      </c>
      <c r="G112">
        <v>184</v>
      </c>
      <c r="H112">
        <v>1763</v>
      </c>
      <c r="Q112" s="2"/>
      <c r="V112" s="2"/>
      <c r="Z112" s="2"/>
      <c r="AA112" s="2"/>
      <c r="AB112" s="2"/>
    </row>
    <row r="113" spans="1:28" x14ac:dyDescent="0.25">
      <c r="A113">
        <v>1844505072</v>
      </c>
      <c r="B113" s="1">
        <v>42491</v>
      </c>
      <c r="C113">
        <v>2573</v>
      </c>
      <c r="D113">
        <v>1.70000004768372</v>
      </c>
      <c r="E113">
        <v>0</v>
      </c>
      <c r="F113">
        <v>7</v>
      </c>
      <c r="G113">
        <v>75</v>
      </c>
      <c r="H113">
        <v>1541</v>
      </c>
      <c r="Q113" s="2"/>
      <c r="V113" s="2"/>
      <c r="Z113" s="2"/>
      <c r="AA113" s="2"/>
      <c r="AB113" s="2"/>
    </row>
    <row r="114" spans="1:28" x14ac:dyDescent="0.25">
      <c r="A114">
        <v>1844505072</v>
      </c>
      <c r="B114" s="1">
        <v>42492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1348</v>
      </c>
      <c r="Q114" s="2"/>
      <c r="V114" s="2"/>
      <c r="Z114" s="2"/>
      <c r="AA114" s="2"/>
      <c r="AB114" s="2"/>
    </row>
    <row r="115" spans="1:28" x14ac:dyDescent="0.25">
      <c r="A115">
        <v>1844505072</v>
      </c>
      <c r="B115" s="1">
        <v>42493</v>
      </c>
      <c r="C115">
        <v>4059</v>
      </c>
      <c r="D115">
        <v>2.6800000667571999</v>
      </c>
      <c r="E115">
        <v>0</v>
      </c>
      <c r="F115">
        <v>0</v>
      </c>
      <c r="G115">
        <v>184</v>
      </c>
      <c r="H115">
        <v>1742</v>
      </c>
      <c r="Q115" s="2"/>
      <c r="V115" s="2"/>
      <c r="Z115" s="2"/>
      <c r="AA115" s="2"/>
      <c r="AB115" s="2"/>
    </row>
    <row r="116" spans="1:28" x14ac:dyDescent="0.25">
      <c r="A116">
        <v>1844505072</v>
      </c>
      <c r="B116" s="1">
        <v>42494</v>
      </c>
      <c r="C116">
        <v>2080</v>
      </c>
      <c r="D116">
        <v>1.37000000476837</v>
      </c>
      <c r="E116">
        <v>0</v>
      </c>
      <c r="F116">
        <v>0</v>
      </c>
      <c r="G116">
        <v>87</v>
      </c>
      <c r="H116">
        <v>1549</v>
      </c>
      <c r="Q116" s="2"/>
      <c r="V116" s="2"/>
      <c r="Z116" s="2"/>
      <c r="AA116" s="2"/>
      <c r="AB116" s="2"/>
    </row>
    <row r="117" spans="1:28" x14ac:dyDescent="0.25">
      <c r="A117">
        <v>1844505072</v>
      </c>
      <c r="B117" s="1">
        <v>42495</v>
      </c>
      <c r="C117">
        <v>2237</v>
      </c>
      <c r="D117">
        <v>1.4800000190734901</v>
      </c>
      <c r="E117">
        <v>0</v>
      </c>
      <c r="F117">
        <v>0</v>
      </c>
      <c r="G117">
        <v>120</v>
      </c>
      <c r="H117">
        <v>1589</v>
      </c>
      <c r="Q117" s="2"/>
      <c r="V117" s="2"/>
      <c r="Z117" s="2"/>
      <c r="AA117" s="2"/>
      <c r="AB117" s="2"/>
    </row>
    <row r="118" spans="1:28" x14ac:dyDescent="0.25">
      <c r="A118">
        <v>1844505072</v>
      </c>
      <c r="B118" s="1">
        <v>42496</v>
      </c>
      <c r="C118">
        <v>44</v>
      </c>
      <c r="D118">
        <v>2.9999999329447701E-2</v>
      </c>
      <c r="E118">
        <v>0</v>
      </c>
      <c r="F118">
        <v>0</v>
      </c>
      <c r="G118">
        <v>2</v>
      </c>
      <c r="H118">
        <v>1351</v>
      </c>
      <c r="Q118" s="2"/>
      <c r="V118" s="2"/>
      <c r="Z118" s="2"/>
      <c r="AA118" s="2"/>
      <c r="AB118" s="2"/>
    </row>
    <row r="119" spans="1:28" x14ac:dyDescent="0.25">
      <c r="A119">
        <v>1844505072</v>
      </c>
      <c r="B119" s="1">
        <v>42497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1347</v>
      </c>
      <c r="Q119" s="2"/>
      <c r="V119" s="2"/>
      <c r="Z119" s="2"/>
      <c r="AA119" s="2"/>
      <c r="AB119" s="2"/>
    </row>
    <row r="120" spans="1:28" x14ac:dyDescent="0.25">
      <c r="A120">
        <v>1844505072</v>
      </c>
      <c r="B120" s="1">
        <v>42498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1347</v>
      </c>
      <c r="Q120" s="2"/>
      <c r="V120" s="2"/>
      <c r="Z120" s="2"/>
      <c r="AA120" s="2"/>
      <c r="AB120" s="2"/>
    </row>
    <row r="121" spans="1:28" x14ac:dyDescent="0.25">
      <c r="A121">
        <v>1844505072</v>
      </c>
      <c r="B121" s="1">
        <v>42499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1347</v>
      </c>
      <c r="Q121" s="2"/>
      <c r="V121" s="2"/>
      <c r="Z121" s="2"/>
      <c r="AA121" s="2"/>
      <c r="AB121" s="2"/>
    </row>
    <row r="122" spans="1:28" x14ac:dyDescent="0.25">
      <c r="A122">
        <v>1844505072</v>
      </c>
      <c r="B122" s="1">
        <v>42500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1347</v>
      </c>
      <c r="Q122" s="2"/>
      <c r="V122" s="2"/>
      <c r="Z122" s="2"/>
      <c r="AA122" s="2"/>
      <c r="AB122" s="2"/>
    </row>
    <row r="123" spans="1:28" x14ac:dyDescent="0.25">
      <c r="A123">
        <v>1844505072</v>
      </c>
      <c r="B123" s="1">
        <v>42501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1347</v>
      </c>
      <c r="Q123" s="2"/>
      <c r="V123" s="2"/>
      <c r="Z123" s="2"/>
      <c r="AA123" s="2"/>
      <c r="AB123" s="2"/>
    </row>
    <row r="124" spans="1:28" x14ac:dyDescent="0.25">
      <c r="A124">
        <v>1844505072</v>
      </c>
      <c r="B124" s="1">
        <v>42502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665</v>
      </c>
      <c r="Q124" s="2"/>
      <c r="V124" s="2"/>
      <c r="Z124" s="2"/>
      <c r="AA124" s="2"/>
      <c r="AB124" s="2"/>
    </row>
    <row r="125" spans="1:28" x14ac:dyDescent="0.25">
      <c r="A125">
        <v>1927972279</v>
      </c>
      <c r="B125" s="1">
        <v>42472</v>
      </c>
      <c r="C125">
        <v>678</v>
      </c>
      <c r="D125">
        <v>0.46999999880790699</v>
      </c>
      <c r="E125">
        <v>0</v>
      </c>
      <c r="F125">
        <v>0</v>
      </c>
      <c r="G125">
        <v>55</v>
      </c>
      <c r="H125">
        <v>2220</v>
      </c>
      <c r="Q125" s="2"/>
      <c r="V125" s="2"/>
      <c r="Z125" s="2"/>
      <c r="AA125" s="2"/>
      <c r="AB125" s="2"/>
    </row>
    <row r="126" spans="1:28" x14ac:dyDescent="0.25">
      <c r="A126">
        <v>1927972279</v>
      </c>
      <c r="B126" s="1">
        <v>42473</v>
      </c>
      <c r="C126">
        <v>356</v>
      </c>
      <c r="D126">
        <v>0.25</v>
      </c>
      <c r="E126">
        <v>0</v>
      </c>
      <c r="F126">
        <v>0</v>
      </c>
      <c r="G126">
        <v>32</v>
      </c>
      <c r="H126">
        <v>2151</v>
      </c>
      <c r="Q126" s="2"/>
      <c r="V126" s="2"/>
      <c r="Z126" s="2"/>
      <c r="AA126" s="2"/>
      <c r="AB126" s="2"/>
    </row>
    <row r="127" spans="1:28" x14ac:dyDescent="0.25">
      <c r="A127">
        <v>1927972279</v>
      </c>
      <c r="B127" s="1">
        <v>42474</v>
      </c>
      <c r="C127">
        <v>2163</v>
      </c>
      <c r="D127">
        <v>1.5</v>
      </c>
      <c r="E127">
        <v>0</v>
      </c>
      <c r="F127">
        <v>9</v>
      </c>
      <c r="G127">
        <v>88</v>
      </c>
      <c r="H127">
        <v>2383</v>
      </c>
      <c r="Q127" s="2"/>
      <c r="V127" s="2"/>
      <c r="Z127" s="2"/>
      <c r="AA127" s="2"/>
      <c r="AB127" s="2"/>
    </row>
    <row r="128" spans="1:28" x14ac:dyDescent="0.25">
      <c r="A128">
        <v>1927972279</v>
      </c>
      <c r="B128" s="1">
        <v>42475</v>
      </c>
      <c r="C128">
        <v>980</v>
      </c>
      <c r="D128">
        <v>0.68000000715255704</v>
      </c>
      <c r="E128">
        <v>0</v>
      </c>
      <c r="F128">
        <v>0</v>
      </c>
      <c r="G128">
        <v>51</v>
      </c>
      <c r="H128">
        <v>2221</v>
      </c>
      <c r="Q128" s="2"/>
      <c r="V128" s="2"/>
      <c r="Z128" s="2"/>
      <c r="AA128" s="2"/>
      <c r="AB128" s="2"/>
    </row>
    <row r="129" spans="1:28" x14ac:dyDescent="0.25">
      <c r="A129">
        <v>1927972279</v>
      </c>
      <c r="B129" s="1">
        <v>42476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2064</v>
      </c>
      <c r="Q129" s="2"/>
      <c r="V129" s="2"/>
      <c r="Z129" s="2"/>
      <c r="AA129" s="2"/>
      <c r="AB129" s="2"/>
    </row>
    <row r="130" spans="1:28" x14ac:dyDescent="0.25">
      <c r="A130">
        <v>1927972279</v>
      </c>
      <c r="B130" s="1">
        <v>42477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2063</v>
      </c>
      <c r="Q130" s="2"/>
      <c r="V130" s="2"/>
      <c r="Z130" s="2"/>
      <c r="AA130" s="2"/>
      <c r="AB130" s="2"/>
    </row>
    <row r="131" spans="1:28" x14ac:dyDescent="0.25">
      <c r="A131">
        <v>1927972279</v>
      </c>
      <c r="B131" s="1">
        <v>42478</v>
      </c>
      <c r="C131">
        <v>244</v>
      </c>
      <c r="D131">
        <v>0.17000000178813901</v>
      </c>
      <c r="E131">
        <v>0</v>
      </c>
      <c r="F131">
        <v>0</v>
      </c>
      <c r="G131">
        <v>17</v>
      </c>
      <c r="H131">
        <v>2111</v>
      </c>
      <c r="Q131" s="2"/>
      <c r="V131" s="2"/>
      <c r="Z131" s="2"/>
      <c r="AA131" s="2"/>
      <c r="AB131" s="2"/>
    </row>
    <row r="132" spans="1:28" x14ac:dyDescent="0.25">
      <c r="A132">
        <v>1927972279</v>
      </c>
      <c r="B132" s="1">
        <v>42479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2063</v>
      </c>
      <c r="Q132" s="2"/>
      <c r="V132" s="2"/>
      <c r="Z132" s="2"/>
      <c r="AA132" s="2"/>
      <c r="AB132" s="2"/>
    </row>
    <row r="133" spans="1:28" x14ac:dyDescent="0.25">
      <c r="A133">
        <v>1927972279</v>
      </c>
      <c r="B133" s="1">
        <v>42480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2063</v>
      </c>
      <c r="Q133" s="2"/>
      <c r="V133" s="2"/>
      <c r="Z133" s="2"/>
      <c r="AA133" s="2"/>
      <c r="AB133" s="2"/>
    </row>
    <row r="134" spans="1:28" x14ac:dyDescent="0.25">
      <c r="A134">
        <v>1927972279</v>
      </c>
      <c r="B134" s="1">
        <v>42481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2064</v>
      </c>
      <c r="Q134" s="2"/>
      <c r="V134" s="2"/>
      <c r="Z134" s="2"/>
      <c r="AA134" s="2"/>
      <c r="AB134" s="2"/>
    </row>
    <row r="135" spans="1:28" x14ac:dyDescent="0.25">
      <c r="A135">
        <v>1927972279</v>
      </c>
      <c r="B135" s="1">
        <v>42482</v>
      </c>
      <c r="C135">
        <v>149</v>
      </c>
      <c r="D135">
        <v>0.10000000149011599</v>
      </c>
      <c r="E135">
        <v>0</v>
      </c>
      <c r="F135">
        <v>0</v>
      </c>
      <c r="G135">
        <v>10</v>
      </c>
      <c r="H135">
        <v>2093</v>
      </c>
      <c r="Q135" s="2"/>
      <c r="V135" s="2"/>
      <c r="Z135" s="2"/>
      <c r="AA135" s="2"/>
      <c r="AB135" s="2"/>
    </row>
    <row r="136" spans="1:28" x14ac:dyDescent="0.25">
      <c r="A136">
        <v>1927972279</v>
      </c>
      <c r="B136" s="1">
        <v>42483</v>
      </c>
      <c r="C136">
        <v>2945</v>
      </c>
      <c r="D136">
        <v>2.03999996185303</v>
      </c>
      <c r="E136">
        <v>0</v>
      </c>
      <c r="F136">
        <v>0</v>
      </c>
      <c r="G136">
        <v>145</v>
      </c>
      <c r="H136">
        <v>2499</v>
      </c>
      <c r="Q136" s="2"/>
      <c r="V136" s="2"/>
      <c r="Z136" s="2"/>
      <c r="AA136" s="2"/>
      <c r="AB136" s="2"/>
    </row>
    <row r="137" spans="1:28" x14ac:dyDescent="0.25">
      <c r="A137">
        <v>1927972279</v>
      </c>
      <c r="B137" s="1">
        <v>42484</v>
      </c>
      <c r="C137">
        <v>2090</v>
      </c>
      <c r="D137">
        <v>1.45000004768372</v>
      </c>
      <c r="E137">
        <v>1</v>
      </c>
      <c r="F137">
        <v>6</v>
      </c>
      <c r="G137">
        <v>75</v>
      </c>
      <c r="H137">
        <v>2324</v>
      </c>
      <c r="Q137" s="2"/>
      <c r="V137" s="2"/>
      <c r="Z137" s="2"/>
      <c r="AA137" s="2"/>
      <c r="AB137" s="2"/>
    </row>
    <row r="138" spans="1:28" x14ac:dyDescent="0.25">
      <c r="A138">
        <v>1927972279</v>
      </c>
      <c r="B138" s="1">
        <v>42485</v>
      </c>
      <c r="C138">
        <v>152</v>
      </c>
      <c r="D138">
        <v>0.109999999403954</v>
      </c>
      <c r="E138">
        <v>0</v>
      </c>
      <c r="F138">
        <v>0</v>
      </c>
      <c r="G138">
        <v>12</v>
      </c>
      <c r="H138">
        <v>2100</v>
      </c>
      <c r="Q138" s="2"/>
      <c r="V138" s="2"/>
      <c r="Z138" s="2"/>
      <c r="AA138" s="2"/>
      <c r="AB138" s="2"/>
    </row>
    <row r="139" spans="1:28" x14ac:dyDescent="0.25">
      <c r="A139">
        <v>1927972279</v>
      </c>
      <c r="B139" s="1">
        <v>42486</v>
      </c>
      <c r="C139">
        <v>3761</v>
      </c>
      <c r="D139">
        <v>2.5999999046325701</v>
      </c>
      <c r="E139">
        <v>0</v>
      </c>
      <c r="F139">
        <v>0</v>
      </c>
      <c r="G139">
        <v>192</v>
      </c>
      <c r="H139">
        <v>2638</v>
      </c>
      <c r="Q139" s="2"/>
      <c r="V139" s="2"/>
      <c r="Z139" s="2"/>
      <c r="AA139" s="2"/>
      <c r="AB139" s="2"/>
    </row>
    <row r="140" spans="1:28" x14ac:dyDescent="0.25">
      <c r="A140">
        <v>1927972279</v>
      </c>
      <c r="B140" s="1">
        <v>42487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2063</v>
      </c>
      <c r="Q140" s="2"/>
      <c r="V140" s="2"/>
      <c r="Z140" s="2"/>
      <c r="AA140" s="2"/>
      <c r="AB140" s="2"/>
    </row>
    <row r="141" spans="1:28" x14ac:dyDescent="0.25">
      <c r="A141">
        <v>1927972279</v>
      </c>
      <c r="B141" s="1">
        <v>42488</v>
      </c>
      <c r="C141">
        <v>1675</v>
      </c>
      <c r="D141">
        <v>1.1599999666214</v>
      </c>
      <c r="E141">
        <v>0</v>
      </c>
      <c r="F141">
        <v>0</v>
      </c>
      <c r="G141">
        <v>95</v>
      </c>
      <c r="H141">
        <v>2351</v>
      </c>
      <c r="Q141" s="2"/>
      <c r="V141" s="2"/>
      <c r="Z141" s="2"/>
      <c r="AA141" s="2"/>
      <c r="AB141" s="2"/>
    </row>
    <row r="142" spans="1:28" x14ac:dyDescent="0.25">
      <c r="A142">
        <v>1927972279</v>
      </c>
      <c r="B142" s="1">
        <v>42489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2063</v>
      </c>
      <c r="Q142" s="2"/>
      <c r="V142" s="2"/>
      <c r="Z142" s="2"/>
      <c r="AA142" s="2"/>
      <c r="AB142" s="2"/>
    </row>
    <row r="143" spans="1:28" x14ac:dyDescent="0.25">
      <c r="A143">
        <v>1927972279</v>
      </c>
      <c r="B143" s="1">
        <v>42490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2064</v>
      </c>
      <c r="Q143" s="2"/>
      <c r="V143" s="2"/>
      <c r="Z143" s="2"/>
      <c r="AA143" s="2"/>
      <c r="AB143" s="2"/>
    </row>
    <row r="144" spans="1:28" x14ac:dyDescent="0.25">
      <c r="A144">
        <v>1927972279</v>
      </c>
      <c r="B144" s="1">
        <v>42491</v>
      </c>
      <c r="C144">
        <v>2704</v>
      </c>
      <c r="D144">
        <v>1.87000000476837</v>
      </c>
      <c r="E144">
        <v>14</v>
      </c>
      <c r="F144">
        <v>1</v>
      </c>
      <c r="G144">
        <v>70</v>
      </c>
      <c r="H144">
        <v>2411</v>
      </c>
      <c r="Q144" s="2"/>
      <c r="V144" s="2"/>
      <c r="Z144" s="2"/>
      <c r="AA144" s="2"/>
      <c r="AB144" s="2"/>
    </row>
    <row r="145" spans="1:28" x14ac:dyDescent="0.25">
      <c r="A145">
        <v>1927972279</v>
      </c>
      <c r="B145" s="1">
        <v>42492</v>
      </c>
      <c r="C145">
        <v>3790</v>
      </c>
      <c r="D145">
        <v>2.6199998855590798</v>
      </c>
      <c r="E145">
        <v>16</v>
      </c>
      <c r="F145">
        <v>8</v>
      </c>
      <c r="G145">
        <v>94</v>
      </c>
      <c r="H145">
        <v>2505</v>
      </c>
      <c r="Q145" s="2"/>
      <c r="V145" s="2"/>
      <c r="Z145" s="2"/>
      <c r="AA145" s="2"/>
      <c r="AB145" s="2"/>
    </row>
    <row r="146" spans="1:28" x14ac:dyDescent="0.25">
      <c r="A146">
        <v>1927972279</v>
      </c>
      <c r="B146" s="1">
        <v>42493</v>
      </c>
      <c r="C146">
        <v>1326</v>
      </c>
      <c r="D146">
        <v>0.92000001668930098</v>
      </c>
      <c r="E146">
        <v>10</v>
      </c>
      <c r="F146">
        <v>0</v>
      </c>
      <c r="G146">
        <v>17</v>
      </c>
      <c r="H146">
        <v>2195</v>
      </c>
      <c r="Q146" s="2"/>
      <c r="V146" s="2"/>
      <c r="Z146" s="2"/>
      <c r="AA146" s="2"/>
      <c r="AB146" s="2"/>
    </row>
    <row r="147" spans="1:28" x14ac:dyDescent="0.25">
      <c r="A147">
        <v>1927972279</v>
      </c>
      <c r="B147" s="1">
        <v>42494</v>
      </c>
      <c r="C147">
        <v>1786</v>
      </c>
      <c r="D147">
        <v>1.2400000095367401</v>
      </c>
      <c r="E147">
        <v>0</v>
      </c>
      <c r="F147">
        <v>0</v>
      </c>
      <c r="G147">
        <v>87</v>
      </c>
      <c r="H147">
        <v>2338</v>
      </c>
      <c r="Q147" s="2"/>
      <c r="V147" s="2"/>
      <c r="Z147" s="2"/>
      <c r="AA147" s="2"/>
      <c r="AB147" s="2"/>
    </row>
    <row r="148" spans="1:28" x14ac:dyDescent="0.25">
      <c r="A148">
        <v>1927972279</v>
      </c>
      <c r="B148" s="1">
        <v>42495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2063</v>
      </c>
      <c r="Q148" s="2"/>
      <c r="V148" s="2"/>
      <c r="Z148" s="2"/>
      <c r="AA148" s="2"/>
      <c r="AB148" s="2"/>
    </row>
    <row r="149" spans="1:28" x14ac:dyDescent="0.25">
      <c r="A149">
        <v>1927972279</v>
      </c>
      <c r="B149" s="1">
        <v>42496</v>
      </c>
      <c r="C149">
        <v>2091</v>
      </c>
      <c r="D149">
        <v>1.45000004768372</v>
      </c>
      <c r="E149">
        <v>0</v>
      </c>
      <c r="F149">
        <v>0</v>
      </c>
      <c r="G149">
        <v>108</v>
      </c>
      <c r="H149">
        <v>2383</v>
      </c>
      <c r="Q149" s="2"/>
      <c r="V149" s="2"/>
      <c r="Z149" s="2"/>
      <c r="AA149" s="2"/>
      <c r="AB149" s="2"/>
    </row>
    <row r="150" spans="1:28" x14ac:dyDescent="0.25">
      <c r="A150">
        <v>1927972279</v>
      </c>
      <c r="B150" s="1">
        <v>42497</v>
      </c>
      <c r="C150">
        <v>1510</v>
      </c>
      <c r="D150">
        <v>1.03999996185303</v>
      </c>
      <c r="E150">
        <v>0</v>
      </c>
      <c r="F150">
        <v>0</v>
      </c>
      <c r="G150">
        <v>48</v>
      </c>
      <c r="H150">
        <v>2229</v>
      </c>
      <c r="Q150" s="2"/>
      <c r="V150" s="2"/>
      <c r="Z150" s="2"/>
      <c r="AA150" s="2"/>
      <c r="AB150" s="2"/>
    </row>
    <row r="151" spans="1:28" x14ac:dyDescent="0.25">
      <c r="A151">
        <v>1927972279</v>
      </c>
      <c r="B151" s="1">
        <v>42498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2063</v>
      </c>
      <c r="Q151" s="2"/>
      <c r="V151" s="2"/>
      <c r="Z151" s="2"/>
      <c r="AA151" s="2"/>
      <c r="AB151" s="2"/>
    </row>
    <row r="152" spans="1:28" x14ac:dyDescent="0.25">
      <c r="A152">
        <v>1927972279</v>
      </c>
      <c r="B152" s="1">
        <v>42499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2063</v>
      </c>
      <c r="Q152" s="2"/>
      <c r="V152" s="2"/>
      <c r="Z152" s="2"/>
      <c r="AA152" s="2"/>
      <c r="AB152" s="2"/>
    </row>
    <row r="153" spans="1:28" x14ac:dyDescent="0.25">
      <c r="A153">
        <v>1927972279</v>
      </c>
      <c r="B153" s="1">
        <v>42500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2063</v>
      </c>
      <c r="Q153" s="2"/>
      <c r="V153" s="2"/>
      <c r="Z153" s="2"/>
      <c r="AA153" s="2"/>
      <c r="AB153" s="2"/>
    </row>
    <row r="154" spans="1:28" x14ac:dyDescent="0.25">
      <c r="A154">
        <v>1927972279</v>
      </c>
      <c r="B154" s="1">
        <v>42501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2063</v>
      </c>
      <c r="Q154" s="2"/>
      <c r="V154" s="2"/>
      <c r="Z154" s="2"/>
      <c r="AA154" s="2"/>
      <c r="AB154" s="2"/>
    </row>
    <row r="155" spans="1:28" x14ac:dyDescent="0.25">
      <c r="A155">
        <v>1927972279</v>
      </c>
      <c r="B155" s="1">
        <v>42502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1383</v>
      </c>
      <c r="Q155" s="2"/>
      <c r="V155" s="2"/>
      <c r="Z155" s="2"/>
      <c r="AA155" s="2"/>
      <c r="AB155" s="2"/>
    </row>
    <row r="156" spans="1:28" x14ac:dyDescent="0.25">
      <c r="A156">
        <v>2022484408</v>
      </c>
      <c r="B156" s="1">
        <v>42472</v>
      </c>
      <c r="C156">
        <v>11875</v>
      </c>
      <c r="D156">
        <v>8.3400001525878906</v>
      </c>
      <c r="E156">
        <v>42</v>
      </c>
      <c r="F156">
        <v>14</v>
      </c>
      <c r="G156">
        <v>227</v>
      </c>
      <c r="H156">
        <v>2390</v>
      </c>
      <c r="Q156" s="2"/>
      <c r="V156" s="2"/>
      <c r="Z156" s="2"/>
      <c r="AA156" s="2"/>
      <c r="AB156" s="2"/>
    </row>
    <row r="157" spans="1:28" x14ac:dyDescent="0.25">
      <c r="A157">
        <v>2022484408</v>
      </c>
      <c r="B157" s="1">
        <v>42473</v>
      </c>
      <c r="C157">
        <v>12024</v>
      </c>
      <c r="D157">
        <v>8.5</v>
      </c>
      <c r="E157">
        <v>43</v>
      </c>
      <c r="F157">
        <v>5</v>
      </c>
      <c r="G157">
        <v>292</v>
      </c>
      <c r="H157">
        <v>2601</v>
      </c>
      <c r="Q157" s="2"/>
      <c r="V157" s="2"/>
      <c r="Z157" s="2"/>
      <c r="AA157" s="2"/>
      <c r="AB157" s="2"/>
    </row>
    <row r="158" spans="1:28" x14ac:dyDescent="0.25">
      <c r="A158">
        <v>2022484408</v>
      </c>
      <c r="B158" s="1">
        <v>42474</v>
      </c>
      <c r="C158">
        <v>10690</v>
      </c>
      <c r="D158">
        <v>7.5</v>
      </c>
      <c r="E158">
        <v>32</v>
      </c>
      <c r="F158">
        <v>3</v>
      </c>
      <c r="G158">
        <v>257</v>
      </c>
      <c r="H158">
        <v>2312</v>
      </c>
      <c r="Q158" s="2"/>
      <c r="V158" s="2"/>
      <c r="Z158" s="2"/>
      <c r="AA158" s="2"/>
      <c r="AB158" s="2"/>
    </row>
    <row r="159" spans="1:28" x14ac:dyDescent="0.25">
      <c r="A159">
        <v>2022484408</v>
      </c>
      <c r="B159" s="1">
        <v>42475</v>
      </c>
      <c r="C159">
        <v>11034</v>
      </c>
      <c r="D159">
        <v>8.0299997329711896</v>
      </c>
      <c r="E159">
        <v>27</v>
      </c>
      <c r="F159">
        <v>9</v>
      </c>
      <c r="G159">
        <v>282</v>
      </c>
      <c r="H159">
        <v>2525</v>
      </c>
      <c r="Q159" s="2"/>
      <c r="V159" s="2"/>
      <c r="Z159" s="2"/>
      <c r="AA159" s="2"/>
      <c r="AB159" s="2"/>
    </row>
    <row r="160" spans="1:28" x14ac:dyDescent="0.25">
      <c r="A160">
        <v>2022484408</v>
      </c>
      <c r="B160" s="1">
        <v>42476</v>
      </c>
      <c r="C160">
        <v>10100</v>
      </c>
      <c r="D160">
        <v>7.0900001525878897</v>
      </c>
      <c r="E160">
        <v>41</v>
      </c>
      <c r="F160">
        <v>11</v>
      </c>
      <c r="G160">
        <v>151</v>
      </c>
      <c r="H160">
        <v>2177</v>
      </c>
      <c r="Q160" s="2"/>
      <c r="V160" s="2"/>
      <c r="Z160" s="2"/>
      <c r="AA160" s="2"/>
      <c r="AB160" s="2"/>
    </row>
    <row r="161" spans="1:28" x14ac:dyDescent="0.25">
      <c r="A161">
        <v>2022484408</v>
      </c>
      <c r="B161" s="1">
        <v>42477</v>
      </c>
      <c r="C161">
        <v>15112</v>
      </c>
      <c r="D161">
        <v>11.3999996185303</v>
      </c>
      <c r="E161">
        <v>28</v>
      </c>
      <c r="F161">
        <v>29</v>
      </c>
      <c r="G161">
        <v>331</v>
      </c>
      <c r="H161">
        <v>2782</v>
      </c>
      <c r="Q161" s="2"/>
      <c r="V161" s="2"/>
      <c r="Z161" s="2"/>
      <c r="AA161" s="2"/>
      <c r="AB161" s="2"/>
    </row>
    <row r="162" spans="1:28" x14ac:dyDescent="0.25">
      <c r="A162">
        <v>2022484408</v>
      </c>
      <c r="B162" s="1">
        <v>42478</v>
      </c>
      <c r="C162">
        <v>14131</v>
      </c>
      <c r="D162">
        <v>10.069999694824199</v>
      </c>
      <c r="E162">
        <v>48</v>
      </c>
      <c r="F162">
        <v>3</v>
      </c>
      <c r="G162">
        <v>311</v>
      </c>
      <c r="H162">
        <v>2770</v>
      </c>
      <c r="Q162" s="2"/>
      <c r="V162" s="2"/>
      <c r="Z162" s="2"/>
      <c r="AA162" s="2"/>
      <c r="AB162" s="2"/>
    </row>
    <row r="163" spans="1:28" x14ac:dyDescent="0.25">
      <c r="A163">
        <v>2022484408</v>
      </c>
      <c r="B163" s="1">
        <v>42479</v>
      </c>
      <c r="C163">
        <v>11548</v>
      </c>
      <c r="D163">
        <v>8.5299997329711896</v>
      </c>
      <c r="E163">
        <v>31</v>
      </c>
      <c r="F163">
        <v>7</v>
      </c>
      <c r="G163">
        <v>250</v>
      </c>
      <c r="H163">
        <v>2489</v>
      </c>
      <c r="Q163" s="2"/>
      <c r="V163" s="2"/>
      <c r="Z163" s="2"/>
      <c r="AA163" s="2"/>
      <c r="AB163" s="2"/>
    </row>
    <row r="164" spans="1:28" x14ac:dyDescent="0.25">
      <c r="A164">
        <v>2022484408</v>
      </c>
      <c r="B164" s="1">
        <v>42480</v>
      </c>
      <c r="C164">
        <v>15112</v>
      </c>
      <c r="D164">
        <v>10.670000076293899</v>
      </c>
      <c r="E164">
        <v>48</v>
      </c>
      <c r="F164">
        <v>63</v>
      </c>
      <c r="G164">
        <v>276</v>
      </c>
      <c r="H164">
        <v>2897</v>
      </c>
      <c r="Q164" s="2"/>
      <c r="V164" s="2"/>
      <c r="Z164" s="2"/>
      <c r="AA164" s="2"/>
      <c r="AB164" s="2"/>
    </row>
    <row r="165" spans="1:28" x14ac:dyDescent="0.25">
      <c r="A165">
        <v>2022484408</v>
      </c>
      <c r="B165" s="1">
        <v>42481</v>
      </c>
      <c r="C165">
        <v>12453</v>
      </c>
      <c r="D165">
        <v>8.7399997711181605</v>
      </c>
      <c r="E165">
        <v>104</v>
      </c>
      <c r="F165">
        <v>53</v>
      </c>
      <c r="G165">
        <v>255</v>
      </c>
      <c r="H165">
        <v>3158</v>
      </c>
      <c r="Q165" s="2"/>
      <c r="V165" s="2"/>
      <c r="Z165" s="2"/>
      <c r="AA165" s="2"/>
      <c r="AB165" s="2"/>
    </row>
    <row r="166" spans="1:28" x14ac:dyDescent="0.25">
      <c r="A166">
        <v>2022484408</v>
      </c>
      <c r="B166" s="1">
        <v>42482</v>
      </c>
      <c r="C166">
        <v>12954</v>
      </c>
      <c r="D166">
        <v>9.3299999237060494</v>
      </c>
      <c r="E166">
        <v>52</v>
      </c>
      <c r="F166">
        <v>10</v>
      </c>
      <c r="G166">
        <v>273</v>
      </c>
      <c r="H166">
        <v>2638</v>
      </c>
      <c r="Q166" s="2"/>
      <c r="V166" s="2"/>
      <c r="Z166" s="2"/>
      <c r="AA166" s="2"/>
      <c r="AB166" s="2"/>
    </row>
    <row r="167" spans="1:28" x14ac:dyDescent="0.25">
      <c r="A167">
        <v>2022484408</v>
      </c>
      <c r="B167" s="1">
        <v>42483</v>
      </c>
      <c r="C167">
        <v>6001</v>
      </c>
      <c r="D167">
        <v>4.21000003814697</v>
      </c>
      <c r="E167">
        <v>0</v>
      </c>
      <c r="F167">
        <v>0</v>
      </c>
      <c r="G167">
        <v>249</v>
      </c>
      <c r="H167">
        <v>2069</v>
      </c>
      <c r="Q167" s="2"/>
      <c r="V167" s="2"/>
      <c r="Z167" s="2"/>
      <c r="AA167" s="2"/>
      <c r="AB167" s="2"/>
    </row>
    <row r="168" spans="1:28" x14ac:dyDescent="0.25">
      <c r="A168">
        <v>2022484408</v>
      </c>
      <c r="B168" s="1">
        <v>42484</v>
      </c>
      <c r="C168">
        <v>13481</v>
      </c>
      <c r="D168">
        <v>10.2799997329712</v>
      </c>
      <c r="E168">
        <v>37</v>
      </c>
      <c r="F168">
        <v>26</v>
      </c>
      <c r="G168">
        <v>216</v>
      </c>
      <c r="H168">
        <v>2529</v>
      </c>
      <c r="Q168" s="2"/>
      <c r="V168" s="2"/>
      <c r="Z168" s="2"/>
      <c r="AA168" s="2"/>
      <c r="AB168" s="2"/>
    </row>
    <row r="169" spans="1:28" x14ac:dyDescent="0.25">
      <c r="A169">
        <v>2022484408</v>
      </c>
      <c r="B169" s="1">
        <v>42485</v>
      </c>
      <c r="C169">
        <v>11369</v>
      </c>
      <c r="D169">
        <v>8.0100002288818395</v>
      </c>
      <c r="E169">
        <v>44</v>
      </c>
      <c r="F169">
        <v>8</v>
      </c>
      <c r="G169">
        <v>217</v>
      </c>
      <c r="H169">
        <v>2470</v>
      </c>
      <c r="Q169" s="2"/>
      <c r="V169" s="2"/>
      <c r="Z169" s="2"/>
      <c r="AA169" s="2"/>
      <c r="AB169" s="2"/>
    </row>
    <row r="170" spans="1:28" x14ac:dyDescent="0.25">
      <c r="A170">
        <v>2022484408</v>
      </c>
      <c r="B170" s="1">
        <v>42486</v>
      </c>
      <c r="C170">
        <v>10119</v>
      </c>
      <c r="D170">
        <v>7.1900000572204599</v>
      </c>
      <c r="E170">
        <v>55</v>
      </c>
      <c r="F170">
        <v>24</v>
      </c>
      <c r="G170">
        <v>275</v>
      </c>
      <c r="H170">
        <v>2793</v>
      </c>
      <c r="Q170" s="2"/>
      <c r="V170" s="2"/>
      <c r="Z170" s="2"/>
      <c r="AA170" s="2"/>
      <c r="AB170" s="2"/>
    </row>
    <row r="171" spans="1:28" x14ac:dyDescent="0.25">
      <c r="A171">
        <v>2022484408</v>
      </c>
      <c r="B171" s="1">
        <v>42487</v>
      </c>
      <c r="C171">
        <v>10159</v>
      </c>
      <c r="D171">
        <v>7.1300001144409197</v>
      </c>
      <c r="E171">
        <v>19</v>
      </c>
      <c r="F171">
        <v>20</v>
      </c>
      <c r="G171">
        <v>282</v>
      </c>
      <c r="H171">
        <v>2463</v>
      </c>
      <c r="Q171" s="2"/>
      <c r="V171" s="2"/>
      <c r="Z171" s="2"/>
      <c r="AA171" s="2"/>
      <c r="AB171" s="2"/>
    </row>
    <row r="172" spans="1:28" x14ac:dyDescent="0.25">
      <c r="A172">
        <v>2022484408</v>
      </c>
      <c r="B172" s="1">
        <v>42488</v>
      </c>
      <c r="C172">
        <v>10140</v>
      </c>
      <c r="D172">
        <v>7.1199998855590803</v>
      </c>
      <c r="E172">
        <v>6</v>
      </c>
      <c r="F172">
        <v>20</v>
      </c>
      <c r="G172">
        <v>291</v>
      </c>
      <c r="H172">
        <v>2296</v>
      </c>
      <c r="Q172" s="2"/>
      <c r="V172" s="2"/>
      <c r="Z172" s="2"/>
      <c r="AA172" s="2"/>
      <c r="AB172" s="2"/>
    </row>
    <row r="173" spans="1:28" x14ac:dyDescent="0.25">
      <c r="A173">
        <v>2022484408</v>
      </c>
      <c r="B173" s="1">
        <v>42489</v>
      </c>
      <c r="C173">
        <v>10245</v>
      </c>
      <c r="D173">
        <v>7.1900000572204599</v>
      </c>
      <c r="E173">
        <v>21</v>
      </c>
      <c r="F173">
        <v>40</v>
      </c>
      <c r="G173">
        <v>281</v>
      </c>
      <c r="H173">
        <v>2611</v>
      </c>
      <c r="Q173" s="2"/>
      <c r="V173" s="2"/>
      <c r="Z173" s="2"/>
      <c r="AA173" s="2"/>
      <c r="AB173" s="2"/>
    </row>
    <row r="174" spans="1:28" x14ac:dyDescent="0.25">
      <c r="A174">
        <v>2022484408</v>
      </c>
      <c r="B174" s="1">
        <v>42490</v>
      </c>
      <c r="C174">
        <v>18387</v>
      </c>
      <c r="D174">
        <v>12.9099998474121</v>
      </c>
      <c r="E174">
        <v>13</v>
      </c>
      <c r="F174">
        <v>23</v>
      </c>
      <c r="G174">
        <v>361</v>
      </c>
      <c r="H174">
        <v>2732</v>
      </c>
      <c r="Q174" s="2"/>
      <c r="V174" s="2"/>
      <c r="Z174" s="2"/>
      <c r="AA174" s="2"/>
      <c r="AB174" s="2"/>
    </row>
    <row r="175" spans="1:28" x14ac:dyDescent="0.25">
      <c r="A175">
        <v>2022484408</v>
      </c>
      <c r="B175" s="1">
        <v>42491</v>
      </c>
      <c r="C175">
        <v>10538</v>
      </c>
      <c r="D175">
        <v>7.4000000953674299</v>
      </c>
      <c r="E175">
        <v>25</v>
      </c>
      <c r="F175">
        <v>28</v>
      </c>
      <c r="G175">
        <v>245</v>
      </c>
      <c r="H175">
        <v>2380</v>
      </c>
      <c r="Q175" s="2"/>
      <c r="V175" s="2"/>
      <c r="Z175" s="2"/>
      <c r="AA175" s="2"/>
      <c r="AB175" s="2"/>
    </row>
    <row r="176" spans="1:28" x14ac:dyDescent="0.25">
      <c r="A176">
        <v>2022484408</v>
      </c>
      <c r="B176" s="1">
        <v>42492</v>
      </c>
      <c r="C176">
        <v>10379</v>
      </c>
      <c r="D176">
        <v>7.28999996185303</v>
      </c>
      <c r="E176">
        <v>36</v>
      </c>
      <c r="F176">
        <v>8</v>
      </c>
      <c r="G176">
        <v>277</v>
      </c>
      <c r="H176">
        <v>2473</v>
      </c>
      <c r="Q176" s="2"/>
      <c r="V176" s="2"/>
      <c r="Z176" s="2"/>
      <c r="AA176" s="2"/>
      <c r="AB176" s="2"/>
    </row>
    <row r="177" spans="1:28" x14ac:dyDescent="0.25">
      <c r="A177">
        <v>2022484408</v>
      </c>
      <c r="B177" s="1">
        <v>42493</v>
      </c>
      <c r="C177">
        <v>12183</v>
      </c>
      <c r="D177">
        <v>8.7399997711181605</v>
      </c>
      <c r="E177">
        <v>72</v>
      </c>
      <c r="F177">
        <v>14</v>
      </c>
      <c r="G177">
        <v>250</v>
      </c>
      <c r="H177">
        <v>2752</v>
      </c>
      <c r="Q177" s="2"/>
      <c r="V177" s="2"/>
      <c r="Z177" s="2"/>
      <c r="AA177" s="2"/>
      <c r="AB177" s="2"/>
    </row>
    <row r="178" spans="1:28" x14ac:dyDescent="0.25">
      <c r="A178">
        <v>2022484408</v>
      </c>
      <c r="B178" s="1">
        <v>42494</v>
      </c>
      <c r="C178">
        <v>11768</v>
      </c>
      <c r="D178">
        <v>8.2899999618530291</v>
      </c>
      <c r="E178">
        <v>36</v>
      </c>
      <c r="F178">
        <v>27</v>
      </c>
      <c r="G178">
        <v>272</v>
      </c>
      <c r="H178">
        <v>2649</v>
      </c>
      <c r="Q178" s="2"/>
      <c r="V178" s="2"/>
      <c r="Z178" s="2"/>
      <c r="AA178" s="2"/>
      <c r="AB178" s="2"/>
    </row>
    <row r="179" spans="1:28" x14ac:dyDescent="0.25">
      <c r="A179">
        <v>2022484408</v>
      </c>
      <c r="B179" s="1">
        <v>42495</v>
      </c>
      <c r="C179">
        <v>11895</v>
      </c>
      <c r="D179">
        <v>8.3500003814697301</v>
      </c>
      <c r="E179">
        <v>55</v>
      </c>
      <c r="F179">
        <v>20</v>
      </c>
      <c r="G179">
        <v>253</v>
      </c>
      <c r="H179">
        <v>2609</v>
      </c>
      <c r="Q179" s="2"/>
      <c r="V179" s="2"/>
      <c r="Z179" s="2"/>
      <c r="AA179" s="2"/>
      <c r="AB179" s="2"/>
    </row>
    <row r="180" spans="1:28" x14ac:dyDescent="0.25">
      <c r="A180">
        <v>2022484408</v>
      </c>
      <c r="B180" s="1">
        <v>42496</v>
      </c>
      <c r="C180">
        <v>10227</v>
      </c>
      <c r="D180">
        <v>7.1799998283386204</v>
      </c>
      <c r="E180">
        <v>24</v>
      </c>
      <c r="F180">
        <v>17</v>
      </c>
      <c r="G180">
        <v>295</v>
      </c>
      <c r="H180">
        <v>2498</v>
      </c>
      <c r="Q180" s="2"/>
      <c r="V180" s="2"/>
      <c r="Z180" s="2"/>
      <c r="AA180" s="2"/>
      <c r="AB180" s="2"/>
    </row>
    <row r="181" spans="1:28" x14ac:dyDescent="0.25">
      <c r="A181">
        <v>2022484408</v>
      </c>
      <c r="B181" s="1">
        <v>42497</v>
      </c>
      <c r="C181">
        <v>6708</v>
      </c>
      <c r="D181">
        <v>4.71000003814697</v>
      </c>
      <c r="E181">
        <v>20</v>
      </c>
      <c r="F181">
        <v>2</v>
      </c>
      <c r="G181">
        <v>149</v>
      </c>
      <c r="H181">
        <v>1995</v>
      </c>
      <c r="Q181" s="2"/>
      <c r="V181" s="2"/>
      <c r="Z181" s="2"/>
      <c r="AA181" s="2"/>
      <c r="AB181" s="2"/>
    </row>
    <row r="182" spans="1:28" x14ac:dyDescent="0.25">
      <c r="A182">
        <v>2022484408</v>
      </c>
      <c r="B182" s="1">
        <v>42498</v>
      </c>
      <c r="C182">
        <v>3292</v>
      </c>
      <c r="D182">
        <v>2.3099999427795401</v>
      </c>
      <c r="E182">
        <v>0</v>
      </c>
      <c r="F182">
        <v>0</v>
      </c>
      <c r="G182">
        <v>135</v>
      </c>
      <c r="H182">
        <v>1848</v>
      </c>
      <c r="Q182" s="2"/>
      <c r="V182" s="2"/>
      <c r="Z182" s="2"/>
      <c r="AA182" s="2"/>
      <c r="AB182" s="2"/>
    </row>
    <row r="183" spans="1:28" x14ac:dyDescent="0.25">
      <c r="A183">
        <v>2022484408</v>
      </c>
      <c r="B183" s="1">
        <v>42499</v>
      </c>
      <c r="C183">
        <v>13379</v>
      </c>
      <c r="D183">
        <v>9.3900003433227504</v>
      </c>
      <c r="E183">
        <v>35</v>
      </c>
      <c r="F183">
        <v>47</v>
      </c>
      <c r="G183">
        <v>297</v>
      </c>
      <c r="H183">
        <v>2709</v>
      </c>
      <c r="Q183" s="2"/>
      <c r="V183" s="2"/>
      <c r="Z183" s="2"/>
      <c r="AA183" s="2"/>
      <c r="AB183" s="2"/>
    </row>
    <row r="184" spans="1:28" x14ac:dyDescent="0.25">
      <c r="A184">
        <v>2022484408</v>
      </c>
      <c r="B184" s="1">
        <v>42500</v>
      </c>
      <c r="C184">
        <v>12798</v>
      </c>
      <c r="D184">
        <v>8.9799995422363299</v>
      </c>
      <c r="E184">
        <v>57</v>
      </c>
      <c r="F184">
        <v>28</v>
      </c>
      <c r="G184">
        <v>271</v>
      </c>
      <c r="H184">
        <v>2797</v>
      </c>
      <c r="Q184" s="2"/>
      <c r="V184" s="2"/>
      <c r="Z184" s="2"/>
      <c r="AA184" s="2"/>
      <c r="AB184" s="2"/>
    </row>
    <row r="185" spans="1:28" x14ac:dyDescent="0.25">
      <c r="A185">
        <v>2022484408</v>
      </c>
      <c r="B185" s="1">
        <v>42501</v>
      </c>
      <c r="C185">
        <v>13272</v>
      </c>
      <c r="D185">
        <v>9.3199996948242205</v>
      </c>
      <c r="E185">
        <v>58</v>
      </c>
      <c r="F185">
        <v>25</v>
      </c>
      <c r="G185">
        <v>224</v>
      </c>
      <c r="H185">
        <v>2544</v>
      </c>
      <c r="Q185" s="2"/>
      <c r="V185" s="2"/>
      <c r="Z185" s="2"/>
      <c r="AA185" s="2"/>
      <c r="AB185" s="2"/>
    </row>
    <row r="186" spans="1:28" x14ac:dyDescent="0.25">
      <c r="A186">
        <v>2022484408</v>
      </c>
      <c r="B186" s="1">
        <v>42502</v>
      </c>
      <c r="C186">
        <v>9117</v>
      </c>
      <c r="D186">
        <v>6.4099998474121103</v>
      </c>
      <c r="E186">
        <v>16</v>
      </c>
      <c r="F186">
        <v>16</v>
      </c>
      <c r="G186">
        <v>236</v>
      </c>
      <c r="H186">
        <v>1853</v>
      </c>
      <c r="Q186" s="2"/>
      <c r="V186" s="2"/>
      <c r="Z186" s="2"/>
      <c r="AA186" s="2"/>
      <c r="AB186" s="2"/>
    </row>
    <row r="187" spans="1:28" x14ac:dyDescent="0.25">
      <c r="A187">
        <v>2026352035</v>
      </c>
      <c r="B187" s="1">
        <v>42472</v>
      </c>
      <c r="C187">
        <v>4414</v>
      </c>
      <c r="D187">
        <v>2.7400000095367401</v>
      </c>
      <c r="E187">
        <v>3</v>
      </c>
      <c r="F187">
        <v>8</v>
      </c>
      <c r="G187">
        <v>181</v>
      </c>
      <c r="H187">
        <v>1459</v>
      </c>
      <c r="Q187" s="2"/>
      <c r="V187" s="2"/>
      <c r="Z187" s="2"/>
      <c r="AA187" s="2"/>
      <c r="AB187" s="2"/>
    </row>
    <row r="188" spans="1:28" x14ac:dyDescent="0.25">
      <c r="A188">
        <v>2026352035</v>
      </c>
      <c r="B188" s="1">
        <v>42473</v>
      </c>
      <c r="C188">
        <v>4993</v>
      </c>
      <c r="D188">
        <v>3.0999999046325701</v>
      </c>
      <c r="E188">
        <v>0</v>
      </c>
      <c r="F188">
        <v>0</v>
      </c>
      <c r="G188">
        <v>238</v>
      </c>
      <c r="H188">
        <v>1521</v>
      </c>
      <c r="Q188" s="2"/>
      <c r="V188" s="2"/>
      <c r="Z188" s="2"/>
      <c r="AA188" s="2"/>
      <c r="AB188" s="2"/>
    </row>
    <row r="189" spans="1:28" x14ac:dyDescent="0.25">
      <c r="A189">
        <v>2026352035</v>
      </c>
      <c r="B189" s="1">
        <v>42474</v>
      </c>
      <c r="C189">
        <v>3335</v>
      </c>
      <c r="D189">
        <v>2.0699999332428001</v>
      </c>
      <c r="E189">
        <v>0</v>
      </c>
      <c r="F189">
        <v>0</v>
      </c>
      <c r="G189">
        <v>197</v>
      </c>
      <c r="H189">
        <v>1431</v>
      </c>
      <c r="Q189" s="2"/>
      <c r="V189" s="2"/>
      <c r="Z189" s="2"/>
      <c r="AA189" s="2"/>
      <c r="AB189" s="2"/>
    </row>
    <row r="190" spans="1:28" x14ac:dyDescent="0.25">
      <c r="A190">
        <v>2026352035</v>
      </c>
      <c r="B190" s="1">
        <v>42475</v>
      </c>
      <c r="C190">
        <v>3821</v>
      </c>
      <c r="D190">
        <v>2.3699998855590798</v>
      </c>
      <c r="E190">
        <v>0</v>
      </c>
      <c r="F190">
        <v>0</v>
      </c>
      <c r="G190">
        <v>188</v>
      </c>
      <c r="H190">
        <v>1444</v>
      </c>
      <c r="Q190" s="2"/>
      <c r="V190" s="2"/>
      <c r="Z190" s="2"/>
      <c r="AA190" s="2"/>
      <c r="AB190" s="2"/>
    </row>
    <row r="191" spans="1:28" x14ac:dyDescent="0.25">
      <c r="A191">
        <v>2026352035</v>
      </c>
      <c r="B191" s="1">
        <v>42476</v>
      </c>
      <c r="C191">
        <v>2547</v>
      </c>
      <c r="D191">
        <v>1.58000004291534</v>
      </c>
      <c r="E191">
        <v>0</v>
      </c>
      <c r="F191">
        <v>0</v>
      </c>
      <c r="G191">
        <v>150</v>
      </c>
      <c r="H191">
        <v>1373</v>
      </c>
      <c r="Q191" s="2"/>
      <c r="V191" s="2"/>
      <c r="Z191" s="2"/>
      <c r="AA191" s="2"/>
      <c r="AB191" s="2"/>
    </row>
    <row r="192" spans="1:28" x14ac:dyDescent="0.25">
      <c r="A192">
        <v>2026352035</v>
      </c>
      <c r="B192" s="1">
        <v>42477</v>
      </c>
      <c r="C192">
        <v>838</v>
      </c>
      <c r="D192">
        <v>0.519999980926514</v>
      </c>
      <c r="E192">
        <v>0</v>
      </c>
      <c r="F192">
        <v>0</v>
      </c>
      <c r="G192">
        <v>60</v>
      </c>
      <c r="H192">
        <v>1214</v>
      </c>
      <c r="Q192" s="2"/>
      <c r="V192" s="2"/>
      <c r="Z192" s="2"/>
      <c r="AA192" s="2"/>
      <c r="AB192" s="2"/>
    </row>
    <row r="193" spans="1:28" x14ac:dyDescent="0.25">
      <c r="A193">
        <v>2026352035</v>
      </c>
      <c r="B193" s="1">
        <v>42478</v>
      </c>
      <c r="C193">
        <v>3325</v>
      </c>
      <c r="D193">
        <v>2.0599999427795401</v>
      </c>
      <c r="E193">
        <v>0</v>
      </c>
      <c r="F193">
        <v>0</v>
      </c>
      <c r="G193">
        <v>182</v>
      </c>
      <c r="H193">
        <v>1419</v>
      </c>
      <c r="Q193" s="2"/>
      <c r="V193" s="2"/>
      <c r="Z193" s="2"/>
      <c r="AA193" s="2"/>
      <c r="AB193" s="2"/>
    </row>
    <row r="194" spans="1:28" x14ac:dyDescent="0.25">
      <c r="A194">
        <v>2026352035</v>
      </c>
      <c r="B194" s="1">
        <v>42479</v>
      </c>
      <c r="C194">
        <v>2424</v>
      </c>
      <c r="D194">
        <v>1.5</v>
      </c>
      <c r="E194">
        <v>0</v>
      </c>
      <c r="F194">
        <v>0</v>
      </c>
      <c r="G194">
        <v>141</v>
      </c>
      <c r="H194">
        <v>1356</v>
      </c>
      <c r="Q194" s="2"/>
      <c r="V194" s="2"/>
      <c r="Z194" s="2"/>
      <c r="AA194" s="2"/>
      <c r="AB194" s="2"/>
    </row>
    <row r="195" spans="1:28" x14ac:dyDescent="0.25">
      <c r="A195">
        <v>2026352035</v>
      </c>
      <c r="B195" s="1">
        <v>42480</v>
      </c>
      <c r="C195">
        <v>7222</v>
      </c>
      <c r="D195">
        <v>4.4800000190734899</v>
      </c>
      <c r="E195">
        <v>0</v>
      </c>
      <c r="F195">
        <v>0</v>
      </c>
      <c r="G195">
        <v>327</v>
      </c>
      <c r="H195">
        <v>1667</v>
      </c>
      <c r="Q195" s="2"/>
      <c r="V195" s="2"/>
      <c r="Z195" s="2"/>
      <c r="AA195" s="2"/>
      <c r="AB195" s="2"/>
    </row>
    <row r="196" spans="1:28" x14ac:dyDescent="0.25">
      <c r="A196">
        <v>2026352035</v>
      </c>
      <c r="B196" s="1">
        <v>42481</v>
      </c>
      <c r="C196">
        <v>2467</v>
      </c>
      <c r="D196">
        <v>1.5299999713897701</v>
      </c>
      <c r="E196">
        <v>0</v>
      </c>
      <c r="F196">
        <v>0</v>
      </c>
      <c r="G196">
        <v>153</v>
      </c>
      <c r="H196">
        <v>1370</v>
      </c>
      <c r="Q196" s="2"/>
      <c r="V196" s="2"/>
      <c r="Z196" s="2"/>
      <c r="AA196" s="2"/>
      <c r="AB196" s="2"/>
    </row>
    <row r="197" spans="1:28" x14ac:dyDescent="0.25">
      <c r="A197">
        <v>2026352035</v>
      </c>
      <c r="B197" s="1">
        <v>42482</v>
      </c>
      <c r="C197">
        <v>2915</v>
      </c>
      <c r="D197">
        <v>1.8099999427795399</v>
      </c>
      <c r="E197">
        <v>0</v>
      </c>
      <c r="F197">
        <v>0</v>
      </c>
      <c r="G197">
        <v>162</v>
      </c>
      <c r="H197">
        <v>1399</v>
      </c>
      <c r="Q197" s="2"/>
      <c r="V197" s="2"/>
      <c r="Z197" s="2"/>
      <c r="AA197" s="2"/>
      <c r="AB197" s="2"/>
    </row>
    <row r="198" spans="1:28" x14ac:dyDescent="0.25">
      <c r="A198">
        <v>2026352035</v>
      </c>
      <c r="B198" s="1">
        <v>42483</v>
      </c>
      <c r="C198">
        <v>12357</v>
      </c>
      <c r="D198">
        <v>7.71000003814697</v>
      </c>
      <c r="E198">
        <v>0</v>
      </c>
      <c r="F198">
        <v>0</v>
      </c>
      <c r="G198">
        <v>432</v>
      </c>
      <c r="H198">
        <v>1916</v>
      </c>
      <c r="Q198" s="2"/>
      <c r="V198" s="2"/>
      <c r="Z198" s="2"/>
      <c r="AA198" s="2"/>
      <c r="AB198" s="2"/>
    </row>
    <row r="199" spans="1:28" x14ac:dyDescent="0.25">
      <c r="A199">
        <v>2026352035</v>
      </c>
      <c r="B199" s="1">
        <v>42484</v>
      </c>
      <c r="C199">
        <v>3490</v>
      </c>
      <c r="D199">
        <v>2.1600000858306898</v>
      </c>
      <c r="E199">
        <v>0</v>
      </c>
      <c r="F199">
        <v>0</v>
      </c>
      <c r="G199">
        <v>164</v>
      </c>
      <c r="H199">
        <v>1401</v>
      </c>
      <c r="Q199" s="2"/>
      <c r="V199" s="2"/>
      <c r="Z199" s="2"/>
      <c r="AA199" s="2"/>
      <c r="AB199" s="2"/>
    </row>
    <row r="200" spans="1:28" x14ac:dyDescent="0.25">
      <c r="A200">
        <v>2026352035</v>
      </c>
      <c r="B200" s="1">
        <v>42485</v>
      </c>
      <c r="C200">
        <v>6017</v>
      </c>
      <c r="D200">
        <v>3.7300000190734899</v>
      </c>
      <c r="E200">
        <v>0</v>
      </c>
      <c r="F200">
        <v>0</v>
      </c>
      <c r="G200">
        <v>260</v>
      </c>
      <c r="H200">
        <v>1576</v>
      </c>
      <c r="Q200" s="2"/>
      <c r="V200" s="2"/>
      <c r="Z200" s="2"/>
      <c r="AA200" s="2"/>
      <c r="AB200" s="2"/>
    </row>
    <row r="201" spans="1:28" x14ac:dyDescent="0.25">
      <c r="A201">
        <v>2026352035</v>
      </c>
      <c r="B201" s="1">
        <v>42486</v>
      </c>
      <c r="C201">
        <v>5933</v>
      </c>
      <c r="D201">
        <v>3.6800000667571999</v>
      </c>
      <c r="E201">
        <v>0</v>
      </c>
      <c r="F201">
        <v>0</v>
      </c>
      <c r="G201">
        <v>288</v>
      </c>
      <c r="H201">
        <v>1595</v>
      </c>
      <c r="Q201" s="2"/>
      <c r="V201" s="2"/>
      <c r="Z201" s="2"/>
      <c r="AA201" s="2"/>
      <c r="AB201" s="2"/>
    </row>
    <row r="202" spans="1:28" x14ac:dyDescent="0.25">
      <c r="A202">
        <v>2026352035</v>
      </c>
      <c r="B202" s="1">
        <v>42487</v>
      </c>
      <c r="C202">
        <v>6088</v>
      </c>
      <c r="D202">
        <v>3.7699999809265101</v>
      </c>
      <c r="E202">
        <v>0</v>
      </c>
      <c r="F202">
        <v>0</v>
      </c>
      <c r="G202">
        <v>286</v>
      </c>
      <c r="H202">
        <v>1593</v>
      </c>
      <c r="Q202" s="2"/>
      <c r="V202" s="2"/>
      <c r="Z202" s="2"/>
      <c r="AA202" s="2"/>
      <c r="AB202" s="2"/>
    </row>
    <row r="203" spans="1:28" x14ac:dyDescent="0.25">
      <c r="A203">
        <v>2026352035</v>
      </c>
      <c r="B203" s="1">
        <v>42488</v>
      </c>
      <c r="C203">
        <v>6375</v>
      </c>
      <c r="D203">
        <v>3.9500000476837198</v>
      </c>
      <c r="E203">
        <v>0</v>
      </c>
      <c r="F203">
        <v>0</v>
      </c>
      <c r="G203">
        <v>331</v>
      </c>
      <c r="H203">
        <v>1649</v>
      </c>
      <c r="Q203" s="2"/>
      <c r="V203" s="2"/>
      <c r="Z203" s="2"/>
      <c r="AA203" s="2"/>
      <c r="AB203" s="2"/>
    </row>
    <row r="204" spans="1:28" x14ac:dyDescent="0.25">
      <c r="A204">
        <v>2026352035</v>
      </c>
      <c r="B204" s="1">
        <v>42489</v>
      </c>
      <c r="C204">
        <v>7604</v>
      </c>
      <c r="D204">
        <v>4.71000003814697</v>
      </c>
      <c r="E204">
        <v>0</v>
      </c>
      <c r="F204">
        <v>0</v>
      </c>
      <c r="G204">
        <v>352</v>
      </c>
      <c r="H204">
        <v>1692</v>
      </c>
      <c r="Q204" s="2"/>
      <c r="V204" s="2"/>
      <c r="Z204" s="2"/>
      <c r="AA204" s="2"/>
      <c r="AB204" s="2"/>
    </row>
    <row r="205" spans="1:28" x14ac:dyDescent="0.25">
      <c r="A205">
        <v>2026352035</v>
      </c>
      <c r="B205" s="1">
        <v>42490</v>
      </c>
      <c r="C205">
        <v>4729</v>
      </c>
      <c r="D205">
        <v>2.9300000667571999</v>
      </c>
      <c r="E205">
        <v>0</v>
      </c>
      <c r="F205">
        <v>0</v>
      </c>
      <c r="G205">
        <v>233</v>
      </c>
      <c r="H205">
        <v>1506</v>
      </c>
      <c r="Q205" s="2"/>
      <c r="V205" s="2"/>
      <c r="Z205" s="2"/>
      <c r="AA205" s="2"/>
      <c r="AB205" s="2"/>
    </row>
    <row r="206" spans="1:28" x14ac:dyDescent="0.25">
      <c r="A206">
        <v>2026352035</v>
      </c>
      <c r="B206" s="1">
        <v>42491</v>
      </c>
      <c r="C206">
        <v>3609</v>
      </c>
      <c r="D206">
        <v>2.2799999713897701</v>
      </c>
      <c r="E206">
        <v>0</v>
      </c>
      <c r="F206">
        <v>0</v>
      </c>
      <c r="G206">
        <v>191</v>
      </c>
      <c r="H206">
        <v>1447</v>
      </c>
      <c r="Q206" s="2"/>
      <c r="V206" s="2"/>
      <c r="Z206" s="2"/>
      <c r="AA206" s="2"/>
      <c r="AB206" s="2"/>
    </row>
    <row r="207" spans="1:28" x14ac:dyDescent="0.25">
      <c r="A207">
        <v>2026352035</v>
      </c>
      <c r="B207" s="1">
        <v>42492</v>
      </c>
      <c r="C207">
        <v>7018</v>
      </c>
      <c r="D207">
        <v>4.3499999046325701</v>
      </c>
      <c r="E207">
        <v>0</v>
      </c>
      <c r="F207">
        <v>0</v>
      </c>
      <c r="G207">
        <v>355</v>
      </c>
      <c r="H207">
        <v>1690</v>
      </c>
      <c r="Q207" s="2"/>
      <c r="V207" s="2"/>
      <c r="Z207" s="2"/>
      <c r="AA207" s="2"/>
      <c r="AB207" s="2"/>
    </row>
    <row r="208" spans="1:28" x14ac:dyDescent="0.25">
      <c r="A208">
        <v>2026352035</v>
      </c>
      <c r="B208" s="1">
        <v>42493</v>
      </c>
      <c r="C208">
        <v>5992</v>
      </c>
      <c r="D208">
        <v>3.7200000286102299</v>
      </c>
      <c r="E208">
        <v>0</v>
      </c>
      <c r="F208">
        <v>0</v>
      </c>
      <c r="G208">
        <v>304</v>
      </c>
      <c r="H208">
        <v>1604</v>
      </c>
      <c r="Q208" s="2"/>
      <c r="V208" s="2"/>
      <c r="Z208" s="2"/>
      <c r="AA208" s="2"/>
      <c r="AB208" s="2"/>
    </row>
    <row r="209" spans="1:28" x14ac:dyDescent="0.25">
      <c r="A209">
        <v>2026352035</v>
      </c>
      <c r="B209" s="1">
        <v>42494</v>
      </c>
      <c r="C209">
        <v>6564</v>
      </c>
      <c r="D209">
        <v>4.0700001716613796</v>
      </c>
      <c r="E209">
        <v>0</v>
      </c>
      <c r="F209">
        <v>0</v>
      </c>
      <c r="G209">
        <v>345</v>
      </c>
      <c r="H209">
        <v>1658</v>
      </c>
      <c r="Q209" s="2"/>
      <c r="V209" s="2"/>
      <c r="Z209" s="2"/>
      <c r="AA209" s="2"/>
      <c r="AB209" s="2"/>
    </row>
    <row r="210" spans="1:28" x14ac:dyDescent="0.25">
      <c r="A210">
        <v>2026352035</v>
      </c>
      <c r="B210" s="1">
        <v>42495</v>
      </c>
      <c r="C210">
        <v>12167</v>
      </c>
      <c r="D210">
        <v>7.53999996185303</v>
      </c>
      <c r="E210">
        <v>0</v>
      </c>
      <c r="F210">
        <v>0</v>
      </c>
      <c r="G210">
        <v>475</v>
      </c>
      <c r="H210">
        <v>1926</v>
      </c>
      <c r="Q210" s="2"/>
      <c r="V210" s="2"/>
      <c r="Z210" s="2"/>
      <c r="AA210" s="2"/>
      <c r="AB210" s="2"/>
    </row>
    <row r="211" spans="1:28" x14ac:dyDescent="0.25">
      <c r="A211">
        <v>2026352035</v>
      </c>
      <c r="B211" s="1">
        <v>42496</v>
      </c>
      <c r="C211">
        <v>8198</v>
      </c>
      <c r="D211">
        <v>5.0799999237060502</v>
      </c>
      <c r="E211">
        <v>0</v>
      </c>
      <c r="F211">
        <v>0</v>
      </c>
      <c r="G211">
        <v>383</v>
      </c>
      <c r="H211">
        <v>1736</v>
      </c>
      <c r="Q211" s="2"/>
      <c r="V211" s="2"/>
      <c r="Z211" s="2"/>
      <c r="AA211" s="2"/>
      <c r="AB211" s="2"/>
    </row>
    <row r="212" spans="1:28" x14ac:dyDescent="0.25">
      <c r="A212">
        <v>2026352035</v>
      </c>
      <c r="B212" s="1">
        <v>42497</v>
      </c>
      <c r="C212">
        <v>4193</v>
      </c>
      <c r="D212">
        <v>2.5999999046325701</v>
      </c>
      <c r="E212">
        <v>0</v>
      </c>
      <c r="F212">
        <v>0</v>
      </c>
      <c r="G212">
        <v>229</v>
      </c>
      <c r="H212">
        <v>1491</v>
      </c>
      <c r="Q212" s="2"/>
      <c r="V212" s="2"/>
      <c r="Z212" s="2"/>
      <c r="AA212" s="2"/>
      <c r="AB212" s="2"/>
    </row>
    <row r="213" spans="1:28" x14ac:dyDescent="0.25">
      <c r="A213">
        <v>2026352035</v>
      </c>
      <c r="B213" s="1">
        <v>42498</v>
      </c>
      <c r="C213">
        <v>5528</v>
      </c>
      <c r="D213">
        <v>3.4500000476837198</v>
      </c>
      <c r="E213">
        <v>0</v>
      </c>
      <c r="F213">
        <v>0</v>
      </c>
      <c r="G213">
        <v>258</v>
      </c>
      <c r="H213">
        <v>1555</v>
      </c>
      <c r="Q213" s="2"/>
      <c r="V213" s="2"/>
      <c r="Z213" s="2"/>
      <c r="AA213" s="2"/>
      <c r="AB213" s="2"/>
    </row>
    <row r="214" spans="1:28" x14ac:dyDescent="0.25">
      <c r="A214">
        <v>2026352035</v>
      </c>
      <c r="B214" s="1">
        <v>42499</v>
      </c>
      <c r="C214">
        <v>10685</v>
      </c>
      <c r="D214">
        <v>6.6199998855590803</v>
      </c>
      <c r="E214">
        <v>0</v>
      </c>
      <c r="F214">
        <v>0</v>
      </c>
      <c r="G214">
        <v>401</v>
      </c>
      <c r="H214">
        <v>1869</v>
      </c>
      <c r="Q214" s="2"/>
      <c r="V214" s="2"/>
      <c r="Z214" s="2"/>
      <c r="AA214" s="2"/>
      <c r="AB214" s="2"/>
    </row>
    <row r="215" spans="1:28" x14ac:dyDescent="0.25">
      <c r="A215">
        <v>2026352035</v>
      </c>
      <c r="B215" s="1">
        <v>42500</v>
      </c>
      <c r="C215">
        <v>254</v>
      </c>
      <c r="D215">
        <v>0.15999999642372101</v>
      </c>
      <c r="E215">
        <v>0</v>
      </c>
      <c r="F215">
        <v>0</v>
      </c>
      <c r="G215">
        <v>17</v>
      </c>
      <c r="H215">
        <v>1141</v>
      </c>
      <c r="Q215" s="2"/>
      <c r="V215" s="2"/>
      <c r="Z215" s="2"/>
      <c r="AA215" s="2"/>
      <c r="AB215" s="2"/>
    </row>
    <row r="216" spans="1:28" x14ac:dyDescent="0.25">
      <c r="A216">
        <v>2026352035</v>
      </c>
      <c r="B216" s="1">
        <v>42501</v>
      </c>
      <c r="C216">
        <v>8580</v>
      </c>
      <c r="D216">
        <v>5.3200001716613796</v>
      </c>
      <c r="E216">
        <v>0</v>
      </c>
      <c r="F216">
        <v>0</v>
      </c>
      <c r="G216">
        <v>330</v>
      </c>
      <c r="H216">
        <v>1698</v>
      </c>
      <c r="Q216" s="2"/>
      <c r="V216" s="2"/>
      <c r="Z216" s="2"/>
      <c r="AA216" s="2"/>
      <c r="AB216" s="2"/>
    </row>
    <row r="217" spans="1:28" x14ac:dyDescent="0.25">
      <c r="A217">
        <v>2026352035</v>
      </c>
      <c r="B217" s="1">
        <v>42502</v>
      </c>
      <c r="C217">
        <v>8891</v>
      </c>
      <c r="D217">
        <v>5.5100002288818404</v>
      </c>
      <c r="E217">
        <v>0</v>
      </c>
      <c r="F217">
        <v>0</v>
      </c>
      <c r="G217">
        <v>343</v>
      </c>
      <c r="H217">
        <v>1364</v>
      </c>
      <c r="Q217" s="2"/>
      <c r="V217" s="2"/>
      <c r="Z217" s="2"/>
      <c r="AA217" s="2"/>
      <c r="AB217" s="2"/>
    </row>
    <row r="218" spans="1:28" x14ac:dyDescent="0.25">
      <c r="A218">
        <v>2320127002</v>
      </c>
      <c r="B218" s="1">
        <v>42472</v>
      </c>
      <c r="C218">
        <v>10725</v>
      </c>
      <c r="D218">
        <v>7.4899997711181596</v>
      </c>
      <c r="E218">
        <v>13</v>
      </c>
      <c r="F218">
        <v>9</v>
      </c>
      <c r="G218">
        <v>306</v>
      </c>
      <c r="H218">
        <v>2124</v>
      </c>
      <c r="Q218" s="2"/>
      <c r="V218" s="2"/>
      <c r="Z218" s="2"/>
      <c r="AA218" s="2"/>
      <c r="AB218" s="2"/>
    </row>
    <row r="219" spans="1:28" x14ac:dyDescent="0.25">
      <c r="A219">
        <v>2320127002</v>
      </c>
      <c r="B219" s="1">
        <v>42473</v>
      </c>
      <c r="C219">
        <v>7275</v>
      </c>
      <c r="D219">
        <v>4.9000000953674299</v>
      </c>
      <c r="E219">
        <v>0</v>
      </c>
      <c r="F219">
        <v>0</v>
      </c>
      <c r="G219">
        <v>335</v>
      </c>
      <c r="H219">
        <v>2003</v>
      </c>
      <c r="Q219" s="2"/>
      <c r="V219" s="2"/>
      <c r="Z219" s="2"/>
      <c r="AA219" s="2"/>
      <c r="AB219" s="2"/>
    </row>
    <row r="220" spans="1:28" x14ac:dyDescent="0.25">
      <c r="A220">
        <v>2320127002</v>
      </c>
      <c r="B220" s="1">
        <v>42474</v>
      </c>
      <c r="C220">
        <v>3973</v>
      </c>
      <c r="D220">
        <v>2.6800000667571999</v>
      </c>
      <c r="E220">
        <v>0</v>
      </c>
      <c r="F220">
        <v>0</v>
      </c>
      <c r="G220">
        <v>191</v>
      </c>
      <c r="H220">
        <v>1696</v>
      </c>
      <c r="Q220" s="2"/>
      <c r="V220" s="2"/>
      <c r="Z220" s="2"/>
      <c r="AA220" s="2"/>
      <c r="AB220" s="2"/>
    </row>
    <row r="221" spans="1:28" x14ac:dyDescent="0.25">
      <c r="A221">
        <v>2320127002</v>
      </c>
      <c r="B221" s="1">
        <v>42475</v>
      </c>
      <c r="C221">
        <v>5205</v>
      </c>
      <c r="D221">
        <v>3.5099999904632599</v>
      </c>
      <c r="E221">
        <v>0</v>
      </c>
      <c r="F221">
        <v>0</v>
      </c>
      <c r="G221">
        <v>245</v>
      </c>
      <c r="H221">
        <v>1801</v>
      </c>
      <c r="Q221" s="2"/>
      <c r="V221" s="2"/>
      <c r="Z221" s="2"/>
      <c r="AA221" s="2"/>
      <c r="AB221" s="2"/>
    </row>
    <row r="222" spans="1:28" x14ac:dyDescent="0.25">
      <c r="A222">
        <v>2320127002</v>
      </c>
      <c r="B222" s="1">
        <v>42476</v>
      </c>
      <c r="C222">
        <v>5057</v>
      </c>
      <c r="D222">
        <v>3.4100000858306898</v>
      </c>
      <c r="E222">
        <v>0</v>
      </c>
      <c r="F222">
        <v>0</v>
      </c>
      <c r="G222">
        <v>195</v>
      </c>
      <c r="H222">
        <v>1724</v>
      </c>
      <c r="Q222" s="2"/>
      <c r="V222" s="2"/>
      <c r="Z222" s="2"/>
      <c r="AA222" s="2"/>
      <c r="AB222" s="2"/>
    </row>
    <row r="223" spans="1:28" x14ac:dyDescent="0.25">
      <c r="A223">
        <v>2320127002</v>
      </c>
      <c r="B223" s="1">
        <v>42477</v>
      </c>
      <c r="C223">
        <v>6198</v>
      </c>
      <c r="D223">
        <v>4.1799998283386204</v>
      </c>
      <c r="E223">
        <v>0</v>
      </c>
      <c r="F223">
        <v>0</v>
      </c>
      <c r="G223">
        <v>249</v>
      </c>
      <c r="H223">
        <v>1852</v>
      </c>
      <c r="Q223" s="2"/>
      <c r="V223" s="2"/>
      <c r="Z223" s="2"/>
      <c r="AA223" s="2"/>
      <c r="AB223" s="2"/>
    </row>
    <row r="224" spans="1:28" x14ac:dyDescent="0.25">
      <c r="A224">
        <v>2320127002</v>
      </c>
      <c r="B224" s="1">
        <v>42478</v>
      </c>
      <c r="C224">
        <v>6559</v>
      </c>
      <c r="D224">
        <v>4.4200000762939498</v>
      </c>
      <c r="E224">
        <v>0</v>
      </c>
      <c r="F224">
        <v>7</v>
      </c>
      <c r="G224">
        <v>260</v>
      </c>
      <c r="H224">
        <v>1905</v>
      </c>
      <c r="Q224" s="2"/>
      <c r="V224" s="2"/>
      <c r="Z224" s="2"/>
      <c r="AA224" s="2"/>
      <c r="AB224" s="2"/>
    </row>
    <row r="225" spans="1:28" x14ac:dyDescent="0.25">
      <c r="A225">
        <v>2320127002</v>
      </c>
      <c r="B225" s="1">
        <v>42479</v>
      </c>
      <c r="C225">
        <v>5997</v>
      </c>
      <c r="D225">
        <v>4.03999996185303</v>
      </c>
      <c r="E225">
        <v>0</v>
      </c>
      <c r="F225">
        <v>11</v>
      </c>
      <c r="G225">
        <v>228</v>
      </c>
      <c r="H225">
        <v>1811</v>
      </c>
      <c r="Q225" s="2"/>
      <c r="V225" s="2"/>
      <c r="Z225" s="2"/>
      <c r="AA225" s="2"/>
      <c r="AB225" s="2"/>
    </row>
    <row r="226" spans="1:28" x14ac:dyDescent="0.25">
      <c r="A226">
        <v>2320127002</v>
      </c>
      <c r="B226" s="1">
        <v>42480</v>
      </c>
      <c r="C226">
        <v>7192</v>
      </c>
      <c r="D226">
        <v>4.8499999046325701</v>
      </c>
      <c r="E226">
        <v>0</v>
      </c>
      <c r="F226">
        <v>11</v>
      </c>
      <c r="G226">
        <v>283</v>
      </c>
      <c r="H226">
        <v>1922</v>
      </c>
      <c r="Q226" s="2"/>
      <c r="V226" s="2"/>
      <c r="Z226" s="2"/>
      <c r="AA226" s="2"/>
      <c r="AB226" s="2"/>
    </row>
    <row r="227" spans="1:28" x14ac:dyDescent="0.25">
      <c r="A227">
        <v>2320127002</v>
      </c>
      <c r="B227" s="1">
        <v>42481</v>
      </c>
      <c r="C227">
        <v>3404</v>
      </c>
      <c r="D227">
        <v>2.28999996185303</v>
      </c>
      <c r="E227">
        <v>1</v>
      </c>
      <c r="F227">
        <v>10</v>
      </c>
      <c r="G227">
        <v>127</v>
      </c>
      <c r="H227">
        <v>1610</v>
      </c>
      <c r="Q227" s="2"/>
      <c r="V227" s="2"/>
      <c r="Z227" s="2"/>
      <c r="AA227" s="2"/>
      <c r="AB227" s="2"/>
    </row>
    <row r="228" spans="1:28" x14ac:dyDescent="0.25">
      <c r="A228">
        <v>2320127002</v>
      </c>
      <c r="B228" s="1">
        <v>42482</v>
      </c>
      <c r="C228">
        <v>5583</v>
      </c>
      <c r="D228">
        <v>3.7599999904632599</v>
      </c>
      <c r="E228">
        <v>0</v>
      </c>
      <c r="F228">
        <v>0</v>
      </c>
      <c r="G228">
        <v>266</v>
      </c>
      <c r="H228">
        <v>1851</v>
      </c>
      <c r="Q228" s="2"/>
      <c r="V228" s="2"/>
      <c r="Z228" s="2"/>
      <c r="AA228" s="2"/>
      <c r="AB228" s="2"/>
    </row>
    <row r="229" spans="1:28" x14ac:dyDescent="0.25">
      <c r="A229">
        <v>2320127002</v>
      </c>
      <c r="B229" s="1">
        <v>42483</v>
      </c>
      <c r="C229">
        <v>5079</v>
      </c>
      <c r="D229">
        <v>3.4200000762939502</v>
      </c>
      <c r="E229">
        <v>0</v>
      </c>
      <c r="F229">
        <v>0</v>
      </c>
      <c r="G229">
        <v>242</v>
      </c>
      <c r="H229">
        <v>1804</v>
      </c>
      <c r="Q229" s="2"/>
      <c r="V229" s="2"/>
      <c r="Z229" s="2"/>
      <c r="AA229" s="2"/>
      <c r="AB229" s="2"/>
    </row>
    <row r="230" spans="1:28" x14ac:dyDescent="0.25">
      <c r="A230">
        <v>2320127002</v>
      </c>
      <c r="B230" s="1">
        <v>42484</v>
      </c>
      <c r="C230">
        <v>4165</v>
      </c>
      <c r="D230">
        <v>2.8099999427795401</v>
      </c>
      <c r="E230">
        <v>0</v>
      </c>
      <c r="F230">
        <v>0</v>
      </c>
      <c r="G230">
        <v>204</v>
      </c>
      <c r="H230">
        <v>1725</v>
      </c>
      <c r="Q230" s="2"/>
      <c r="V230" s="2"/>
      <c r="Z230" s="2"/>
      <c r="AA230" s="2"/>
      <c r="AB230" s="2"/>
    </row>
    <row r="231" spans="1:28" x14ac:dyDescent="0.25">
      <c r="A231">
        <v>2320127002</v>
      </c>
      <c r="B231" s="1">
        <v>42485</v>
      </c>
      <c r="C231">
        <v>3588</v>
      </c>
      <c r="D231">
        <v>2.4200000762939502</v>
      </c>
      <c r="E231">
        <v>3</v>
      </c>
      <c r="F231">
        <v>5</v>
      </c>
      <c r="G231">
        <v>152</v>
      </c>
      <c r="H231">
        <v>1654</v>
      </c>
      <c r="Q231" s="2"/>
      <c r="V231" s="2"/>
      <c r="Z231" s="2"/>
      <c r="AA231" s="2"/>
      <c r="AB231" s="2"/>
    </row>
    <row r="232" spans="1:28" x14ac:dyDescent="0.25">
      <c r="A232">
        <v>2320127002</v>
      </c>
      <c r="B232" s="1">
        <v>42486</v>
      </c>
      <c r="C232">
        <v>3409</v>
      </c>
      <c r="D232">
        <v>2.2999999523162802</v>
      </c>
      <c r="E232">
        <v>0</v>
      </c>
      <c r="F232">
        <v>0</v>
      </c>
      <c r="G232">
        <v>147</v>
      </c>
      <c r="H232">
        <v>1632</v>
      </c>
      <c r="Q232" s="2"/>
      <c r="V232" s="2"/>
      <c r="Z232" s="2"/>
      <c r="AA232" s="2"/>
      <c r="AB232" s="2"/>
    </row>
    <row r="233" spans="1:28" x14ac:dyDescent="0.25">
      <c r="A233">
        <v>2320127002</v>
      </c>
      <c r="B233" s="1">
        <v>42487</v>
      </c>
      <c r="C233">
        <v>1715</v>
      </c>
      <c r="D233">
        <v>1.1599999666214</v>
      </c>
      <c r="E233">
        <v>0</v>
      </c>
      <c r="F233">
        <v>0</v>
      </c>
      <c r="G233">
        <v>82</v>
      </c>
      <c r="H233">
        <v>1481</v>
      </c>
      <c r="Q233" s="2"/>
      <c r="V233" s="2"/>
      <c r="Z233" s="2"/>
      <c r="AA233" s="2"/>
      <c r="AB233" s="2"/>
    </row>
    <row r="234" spans="1:28" x14ac:dyDescent="0.25">
      <c r="A234">
        <v>2320127002</v>
      </c>
      <c r="B234" s="1">
        <v>42488</v>
      </c>
      <c r="C234">
        <v>1532</v>
      </c>
      <c r="D234">
        <v>1.0299999713897701</v>
      </c>
      <c r="E234">
        <v>0</v>
      </c>
      <c r="F234">
        <v>0</v>
      </c>
      <c r="G234">
        <v>76</v>
      </c>
      <c r="H234">
        <v>1473</v>
      </c>
      <c r="Q234" s="2"/>
      <c r="V234" s="2"/>
      <c r="Z234" s="2"/>
      <c r="AA234" s="2"/>
      <c r="AB234" s="2"/>
    </row>
    <row r="235" spans="1:28" x14ac:dyDescent="0.25">
      <c r="A235">
        <v>2320127002</v>
      </c>
      <c r="B235" s="1">
        <v>42489</v>
      </c>
      <c r="C235">
        <v>924</v>
      </c>
      <c r="D235">
        <v>0.62000000476837203</v>
      </c>
      <c r="E235">
        <v>0</v>
      </c>
      <c r="F235">
        <v>0</v>
      </c>
      <c r="G235">
        <v>45</v>
      </c>
      <c r="H235">
        <v>1410</v>
      </c>
      <c r="Q235" s="2"/>
      <c r="V235" s="2"/>
      <c r="Z235" s="2"/>
      <c r="AA235" s="2"/>
      <c r="AB235" s="2"/>
    </row>
    <row r="236" spans="1:28" x14ac:dyDescent="0.25">
      <c r="A236">
        <v>2320127002</v>
      </c>
      <c r="B236" s="1">
        <v>42490</v>
      </c>
      <c r="C236">
        <v>4571</v>
      </c>
      <c r="D236">
        <v>3.0799999237060498</v>
      </c>
      <c r="E236">
        <v>0</v>
      </c>
      <c r="F236">
        <v>0</v>
      </c>
      <c r="G236">
        <v>234</v>
      </c>
      <c r="H236">
        <v>1779</v>
      </c>
      <c r="Q236" s="2"/>
      <c r="V236" s="2"/>
      <c r="Z236" s="2"/>
      <c r="AA236" s="2"/>
      <c r="AB236" s="2"/>
    </row>
    <row r="237" spans="1:28" x14ac:dyDescent="0.25">
      <c r="A237">
        <v>2320127002</v>
      </c>
      <c r="B237" s="1">
        <v>42491</v>
      </c>
      <c r="C237">
        <v>772</v>
      </c>
      <c r="D237">
        <v>0.519999980926514</v>
      </c>
      <c r="E237">
        <v>0</v>
      </c>
      <c r="F237">
        <v>0</v>
      </c>
      <c r="G237">
        <v>40</v>
      </c>
      <c r="H237">
        <v>1403</v>
      </c>
      <c r="Q237" s="2"/>
      <c r="V237" s="2"/>
      <c r="Z237" s="2"/>
      <c r="AA237" s="2"/>
      <c r="AB237" s="2"/>
    </row>
    <row r="238" spans="1:28" x14ac:dyDescent="0.25">
      <c r="A238">
        <v>2320127002</v>
      </c>
      <c r="B238" s="1">
        <v>42492</v>
      </c>
      <c r="C238">
        <v>3634</v>
      </c>
      <c r="D238">
        <v>2.4500000476837198</v>
      </c>
      <c r="E238">
        <v>5</v>
      </c>
      <c r="F238">
        <v>6</v>
      </c>
      <c r="G238">
        <v>123</v>
      </c>
      <c r="H238">
        <v>1613</v>
      </c>
      <c r="Q238" s="2"/>
      <c r="V238" s="2"/>
      <c r="Z238" s="2"/>
      <c r="AA238" s="2"/>
      <c r="AB238" s="2"/>
    </row>
    <row r="239" spans="1:28" x14ac:dyDescent="0.25">
      <c r="A239">
        <v>2320127002</v>
      </c>
      <c r="B239" s="1">
        <v>42493</v>
      </c>
      <c r="C239">
        <v>7443</v>
      </c>
      <c r="D239">
        <v>5.0199999809265101</v>
      </c>
      <c r="E239">
        <v>20</v>
      </c>
      <c r="F239">
        <v>10</v>
      </c>
      <c r="G239">
        <v>206</v>
      </c>
      <c r="H239">
        <v>1878</v>
      </c>
      <c r="Q239" s="2"/>
      <c r="V239" s="2"/>
      <c r="Z239" s="2"/>
      <c r="AA239" s="2"/>
      <c r="AB239" s="2"/>
    </row>
    <row r="240" spans="1:28" x14ac:dyDescent="0.25">
      <c r="A240">
        <v>2320127002</v>
      </c>
      <c r="B240" s="1">
        <v>42494</v>
      </c>
      <c r="C240">
        <v>1201</v>
      </c>
      <c r="D240">
        <v>0.81000000238418601</v>
      </c>
      <c r="E240">
        <v>0</v>
      </c>
      <c r="F240">
        <v>0</v>
      </c>
      <c r="G240">
        <v>52</v>
      </c>
      <c r="H240">
        <v>1426</v>
      </c>
      <c r="Q240" s="2"/>
      <c r="V240" s="2"/>
      <c r="Z240" s="2"/>
      <c r="AA240" s="2"/>
      <c r="AB240" s="2"/>
    </row>
    <row r="241" spans="1:28" x14ac:dyDescent="0.25">
      <c r="A241">
        <v>2320127002</v>
      </c>
      <c r="B241" s="1">
        <v>42495</v>
      </c>
      <c r="C241">
        <v>5202</v>
      </c>
      <c r="D241">
        <v>3.5099999904632599</v>
      </c>
      <c r="E241">
        <v>0</v>
      </c>
      <c r="F241">
        <v>11</v>
      </c>
      <c r="G241">
        <v>223</v>
      </c>
      <c r="H241">
        <v>1780</v>
      </c>
      <c r="Q241" s="2"/>
      <c r="V241" s="2"/>
      <c r="Z241" s="2"/>
      <c r="AA241" s="2"/>
      <c r="AB241" s="2"/>
    </row>
    <row r="242" spans="1:28" x14ac:dyDescent="0.25">
      <c r="A242">
        <v>2320127002</v>
      </c>
      <c r="B242" s="1">
        <v>42496</v>
      </c>
      <c r="C242">
        <v>4878</v>
      </c>
      <c r="D242">
        <v>3.28999996185303</v>
      </c>
      <c r="E242">
        <v>0</v>
      </c>
      <c r="F242">
        <v>0</v>
      </c>
      <c r="G242">
        <v>204</v>
      </c>
      <c r="H242">
        <v>1742</v>
      </c>
      <c r="Q242" s="2"/>
      <c r="V242" s="2"/>
      <c r="Z242" s="2"/>
      <c r="AA242" s="2"/>
      <c r="AB242" s="2"/>
    </row>
    <row r="243" spans="1:28" x14ac:dyDescent="0.25">
      <c r="A243">
        <v>2320127002</v>
      </c>
      <c r="B243" s="1">
        <v>42497</v>
      </c>
      <c r="C243">
        <v>7379</v>
      </c>
      <c r="D243">
        <v>4.9699997901916504</v>
      </c>
      <c r="E243">
        <v>0</v>
      </c>
      <c r="F243">
        <v>0</v>
      </c>
      <c r="G243">
        <v>319</v>
      </c>
      <c r="H243">
        <v>1972</v>
      </c>
      <c r="Q243" s="2"/>
      <c r="V243" s="2"/>
      <c r="Z243" s="2"/>
      <c r="AA243" s="2"/>
      <c r="AB243" s="2"/>
    </row>
    <row r="244" spans="1:28" x14ac:dyDescent="0.25">
      <c r="A244">
        <v>2320127002</v>
      </c>
      <c r="B244" s="1">
        <v>42498</v>
      </c>
      <c r="C244">
        <v>5161</v>
      </c>
      <c r="D244">
        <v>3.4800000190734899</v>
      </c>
      <c r="E244">
        <v>0</v>
      </c>
      <c r="F244">
        <v>0</v>
      </c>
      <c r="G244">
        <v>247</v>
      </c>
      <c r="H244">
        <v>1821</v>
      </c>
      <c r="Q244" s="2"/>
      <c r="V244" s="2"/>
      <c r="Z244" s="2"/>
      <c r="AA244" s="2"/>
      <c r="AB244" s="2"/>
    </row>
    <row r="245" spans="1:28" x14ac:dyDescent="0.25">
      <c r="A245">
        <v>2320127002</v>
      </c>
      <c r="B245" s="1">
        <v>42499</v>
      </c>
      <c r="C245">
        <v>3090</v>
      </c>
      <c r="D245">
        <v>2.0799999237060498</v>
      </c>
      <c r="E245">
        <v>0</v>
      </c>
      <c r="F245">
        <v>0</v>
      </c>
      <c r="G245">
        <v>145</v>
      </c>
      <c r="H245">
        <v>1630</v>
      </c>
      <c r="Q245" s="2"/>
      <c r="V245" s="2"/>
      <c r="Z245" s="2"/>
      <c r="AA245" s="2"/>
      <c r="AB245" s="2"/>
    </row>
    <row r="246" spans="1:28" x14ac:dyDescent="0.25">
      <c r="A246">
        <v>2320127002</v>
      </c>
      <c r="B246" s="1">
        <v>42500</v>
      </c>
      <c r="C246">
        <v>6227</v>
      </c>
      <c r="D246">
        <v>4.1999998092651403</v>
      </c>
      <c r="E246">
        <v>0</v>
      </c>
      <c r="F246">
        <v>0</v>
      </c>
      <c r="G246">
        <v>290</v>
      </c>
      <c r="H246">
        <v>1899</v>
      </c>
      <c r="Q246" s="2"/>
      <c r="V246" s="2"/>
      <c r="Z246" s="2"/>
      <c r="AA246" s="2"/>
      <c r="AB246" s="2"/>
    </row>
    <row r="247" spans="1:28" x14ac:dyDescent="0.25">
      <c r="A247">
        <v>2320127002</v>
      </c>
      <c r="B247" s="1">
        <v>42501</v>
      </c>
      <c r="C247">
        <v>6424</v>
      </c>
      <c r="D247">
        <v>4.3299999237060502</v>
      </c>
      <c r="E247">
        <v>0</v>
      </c>
      <c r="F247">
        <v>0</v>
      </c>
      <c r="G247">
        <v>300</v>
      </c>
      <c r="H247">
        <v>1903</v>
      </c>
      <c r="Q247" s="2"/>
      <c r="V247" s="2"/>
      <c r="Z247" s="2"/>
      <c r="AA247" s="2"/>
      <c r="AB247" s="2"/>
    </row>
    <row r="248" spans="1:28" x14ac:dyDescent="0.25">
      <c r="A248">
        <v>2320127002</v>
      </c>
      <c r="B248" s="1">
        <v>42502</v>
      </c>
      <c r="C248">
        <v>2661</v>
      </c>
      <c r="D248">
        <v>1.78999996185303</v>
      </c>
      <c r="E248">
        <v>0</v>
      </c>
      <c r="F248">
        <v>0</v>
      </c>
      <c r="G248">
        <v>128</v>
      </c>
      <c r="H248">
        <v>1125</v>
      </c>
      <c r="Q248" s="2"/>
      <c r="V248" s="2"/>
      <c r="Z248" s="2"/>
      <c r="AA248" s="2"/>
      <c r="AB248" s="2"/>
    </row>
    <row r="249" spans="1:28" x14ac:dyDescent="0.25">
      <c r="A249">
        <v>2347167796</v>
      </c>
      <c r="B249" s="1">
        <v>42472</v>
      </c>
      <c r="C249">
        <v>10113</v>
      </c>
      <c r="D249">
        <v>6.8299999237060502</v>
      </c>
      <c r="E249">
        <v>28</v>
      </c>
      <c r="F249">
        <v>13</v>
      </c>
      <c r="G249">
        <v>320</v>
      </c>
      <c r="H249">
        <v>2344</v>
      </c>
      <c r="Q249" s="2"/>
      <c r="V249" s="2"/>
      <c r="Z249" s="2"/>
      <c r="AA249" s="2"/>
      <c r="AB249" s="2"/>
    </row>
    <row r="250" spans="1:28" x14ac:dyDescent="0.25">
      <c r="A250">
        <v>2347167796</v>
      </c>
      <c r="B250" s="1">
        <v>42473</v>
      </c>
      <c r="C250">
        <v>10352</v>
      </c>
      <c r="D250">
        <v>7.0100002288818404</v>
      </c>
      <c r="E250">
        <v>19</v>
      </c>
      <c r="F250">
        <v>32</v>
      </c>
      <c r="G250">
        <v>195</v>
      </c>
      <c r="H250">
        <v>2038</v>
      </c>
      <c r="Q250" s="2"/>
      <c r="V250" s="2"/>
      <c r="Z250" s="2"/>
      <c r="AA250" s="2"/>
      <c r="AB250" s="2"/>
    </row>
    <row r="251" spans="1:28" x14ac:dyDescent="0.25">
      <c r="A251">
        <v>2347167796</v>
      </c>
      <c r="B251" s="1">
        <v>42474</v>
      </c>
      <c r="C251">
        <v>10129</v>
      </c>
      <c r="D251">
        <v>6.6999998092651403</v>
      </c>
      <c r="E251">
        <v>1</v>
      </c>
      <c r="F251">
        <v>48</v>
      </c>
      <c r="G251">
        <v>206</v>
      </c>
      <c r="H251">
        <v>2010</v>
      </c>
      <c r="Q251" s="2"/>
      <c r="V251" s="2"/>
      <c r="Z251" s="2"/>
      <c r="AA251" s="2"/>
      <c r="AB251" s="2"/>
    </row>
    <row r="252" spans="1:28" x14ac:dyDescent="0.25">
      <c r="A252">
        <v>2347167796</v>
      </c>
      <c r="B252" s="1">
        <v>42475</v>
      </c>
      <c r="C252">
        <v>10465</v>
      </c>
      <c r="D252">
        <v>6.9200000762939498</v>
      </c>
      <c r="E252">
        <v>1</v>
      </c>
      <c r="F252">
        <v>24</v>
      </c>
      <c r="G252">
        <v>284</v>
      </c>
      <c r="H252">
        <v>2133</v>
      </c>
      <c r="Q252" s="2"/>
      <c r="V252" s="2"/>
      <c r="Z252" s="2"/>
      <c r="AA252" s="2"/>
      <c r="AB252" s="2"/>
    </row>
    <row r="253" spans="1:28" x14ac:dyDescent="0.25">
      <c r="A253">
        <v>2347167796</v>
      </c>
      <c r="B253" s="1">
        <v>42476</v>
      </c>
      <c r="C253">
        <v>22244</v>
      </c>
      <c r="D253">
        <v>15.079999923706101</v>
      </c>
      <c r="E253">
        <v>66</v>
      </c>
      <c r="F253">
        <v>72</v>
      </c>
      <c r="G253">
        <v>268</v>
      </c>
      <c r="H253">
        <v>2670</v>
      </c>
      <c r="Q253" s="2"/>
      <c r="V253" s="2"/>
      <c r="Z253" s="2"/>
      <c r="AA253" s="2"/>
      <c r="AB253" s="2"/>
    </row>
    <row r="254" spans="1:28" x14ac:dyDescent="0.25">
      <c r="A254">
        <v>2347167796</v>
      </c>
      <c r="B254" s="1">
        <v>42477</v>
      </c>
      <c r="C254">
        <v>5472</v>
      </c>
      <c r="D254">
        <v>3.6199998855590798</v>
      </c>
      <c r="E254">
        <v>1</v>
      </c>
      <c r="F254">
        <v>7</v>
      </c>
      <c r="G254">
        <v>249</v>
      </c>
      <c r="H254">
        <v>1882</v>
      </c>
      <c r="Q254" s="2"/>
      <c r="V254" s="2"/>
      <c r="Z254" s="2"/>
      <c r="AA254" s="2"/>
      <c r="AB254" s="2"/>
    </row>
    <row r="255" spans="1:28" x14ac:dyDescent="0.25">
      <c r="A255">
        <v>2347167796</v>
      </c>
      <c r="B255" s="1">
        <v>42478</v>
      </c>
      <c r="C255">
        <v>8247</v>
      </c>
      <c r="D255">
        <v>5.4499998092651403</v>
      </c>
      <c r="E255">
        <v>11</v>
      </c>
      <c r="F255">
        <v>16</v>
      </c>
      <c r="G255">
        <v>206</v>
      </c>
      <c r="H255">
        <v>1944</v>
      </c>
      <c r="Q255" s="2"/>
      <c r="V255" s="2"/>
      <c r="Z255" s="2"/>
      <c r="AA255" s="2"/>
      <c r="AB255" s="2"/>
    </row>
    <row r="256" spans="1:28" x14ac:dyDescent="0.25">
      <c r="A256">
        <v>2347167796</v>
      </c>
      <c r="B256" s="1">
        <v>42479</v>
      </c>
      <c r="C256">
        <v>6711</v>
      </c>
      <c r="D256">
        <v>4.4400000572204599</v>
      </c>
      <c r="E256">
        <v>0</v>
      </c>
      <c r="F256">
        <v>7</v>
      </c>
      <c r="G256">
        <v>382</v>
      </c>
      <c r="H256">
        <v>2346</v>
      </c>
      <c r="Q256" s="2"/>
      <c r="V256" s="2"/>
      <c r="Z256" s="2"/>
      <c r="AA256" s="2"/>
      <c r="AB256" s="2"/>
    </row>
    <row r="257" spans="1:28" x14ac:dyDescent="0.25">
      <c r="A257">
        <v>2347167796</v>
      </c>
      <c r="B257" s="1">
        <v>42480</v>
      </c>
      <c r="C257">
        <v>10999</v>
      </c>
      <c r="D257">
        <v>7.2699999809265101</v>
      </c>
      <c r="E257">
        <v>11</v>
      </c>
      <c r="F257">
        <v>43</v>
      </c>
      <c r="G257">
        <v>269</v>
      </c>
      <c r="H257">
        <v>2198</v>
      </c>
      <c r="Q257" s="2"/>
      <c r="V257" s="2"/>
      <c r="Z257" s="2"/>
      <c r="AA257" s="2"/>
      <c r="AB257" s="2"/>
    </row>
    <row r="258" spans="1:28" x14ac:dyDescent="0.25">
      <c r="A258">
        <v>2347167796</v>
      </c>
      <c r="B258" s="1">
        <v>42481</v>
      </c>
      <c r="C258">
        <v>10080</v>
      </c>
      <c r="D258">
        <v>6.75</v>
      </c>
      <c r="E258">
        <v>23</v>
      </c>
      <c r="F258">
        <v>26</v>
      </c>
      <c r="G258">
        <v>208</v>
      </c>
      <c r="H258">
        <v>2048</v>
      </c>
      <c r="Q258" s="2"/>
      <c r="V258" s="2"/>
      <c r="Z258" s="2"/>
      <c r="AA258" s="2"/>
      <c r="AB258" s="2"/>
    </row>
    <row r="259" spans="1:28" x14ac:dyDescent="0.25">
      <c r="A259">
        <v>2347167796</v>
      </c>
      <c r="B259" s="1">
        <v>42482</v>
      </c>
      <c r="C259">
        <v>7804</v>
      </c>
      <c r="D259">
        <v>5.1599998474121103</v>
      </c>
      <c r="E259">
        <v>9</v>
      </c>
      <c r="F259">
        <v>27</v>
      </c>
      <c r="G259">
        <v>206</v>
      </c>
      <c r="H259">
        <v>1946</v>
      </c>
      <c r="Q259" s="2"/>
      <c r="V259" s="2"/>
      <c r="Z259" s="2"/>
      <c r="AA259" s="2"/>
      <c r="AB259" s="2"/>
    </row>
    <row r="260" spans="1:28" x14ac:dyDescent="0.25">
      <c r="A260">
        <v>2347167796</v>
      </c>
      <c r="B260" s="1">
        <v>42483</v>
      </c>
      <c r="C260">
        <v>16901</v>
      </c>
      <c r="D260">
        <v>11.3699998855591</v>
      </c>
      <c r="E260">
        <v>32</v>
      </c>
      <c r="F260">
        <v>35</v>
      </c>
      <c r="G260">
        <v>360</v>
      </c>
      <c r="H260">
        <v>2629</v>
      </c>
      <c r="Q260" s="2"/>
      <c r="V260" s="2"/>
      <c r="Z260" s="2"/>
      <c r="AA260" s="2"/>
      <c r="AB260" s="2"/>
    </row>
    <row r="261" spans="1:28" x14ac:dyDescent="0.25">
      <c r="A261">
        <v>2347167796</v>
      </c>
      <c r="B261" s="1">
        <v>42484</v>
      </c>
      <c r="C261">
        <v>9471</v>
      </c>
      <c r="D261">
        <v>6.2600002288818404</v>
      </c>
      <c r="E261">
        <v>0</v>
      </c>
      <c r="F261">
        <v>0</v>
      </c>
      <c r="G261">
        <v>360</v>
      </c>
      <c r="H261">
        <v>2187</v>
      </c>
      <c r="Q261" s="2"/>
      <c r="V261" s="2"/>
      <c r="Z261" s="2"/>
      <c r="AA261" s="2"/>
      <c r="AB261" s="2"/>
    </row>
    <row r="262" spans="1:28" x14ac:dyDescent="0.25">
      <c r="A262">
        <v>2347167796</v>
      </c>
      <c r="B262" s="1">
        <v>42485</v>
      </c>
      <c r="C262">
        <v>9482</v>
      </c>
      <c r="D262">
        <v>6.3800001144409197</v>
      </c>
      <c r="E262">
        <v>15</v>
      </c>
      <c r="F262">
        <v>11</v>
      </c>
      <c r="G262">
        <v>277</v>
      </c>
      <c r="H262">
        <v>2095</v>
      </c>
      <c r="Q262" s="2"/>
      <c r="V262" s="2"/>
      <c r="Z262" s="2"/>
      <c r="AA262" s="2"/>
      <c r="AB262" s="2"/>
    </row>
    <row r="263" spans="1:28" x14ac:dyDescent="0.25">
      <c r="A263">
        <v>2347167796</v>
      </c>
      <c r="B263" s="1">
        <v>42486</v>
      </c>
      <c r="C263">
        <v>5980</v>
      </c>
      <c r="D263">
        <v>3.9500000476837198</v>
      </c>
      <c r="E263">
        <v>0</v>
      </c>
      <c r="F263">
        <v>0</v>
      </c>
      <c r="G263">
        <v>227</v>
      </c>
      <c r="H263">
        <v>1861</v>
      </c>
      <c r="Q263" s="2"/>
      <c r="V263" s="2"/>
      <c r="Z263" s="2"/>
      <c r="AA263" s="2"/>
      <c r="AB263" s="2"/>
    </row>
    <row r="264" spans="1:28" x14ac:dyDescent="0.25">
      <c r="A264">
        <v>2347167796</v>
      </c>
      <c r="B264" s="1">
        <v>42487</v>
      </c>
      <c r="C264">
        <v>11423</v>
      </c>
      <c r="D264">
        <v>7.5799999237060502</v>
      </c>
      <c r="E264">
        <v>26</v>
      </c>
      <c r="F264">
        <v>9</v>
      </c>
      <c r="G264">
        <v>295</v>
      </c>
      <c r="H264">
        <v>2194</v>
      </c>
      <c r="Q264" s="2"/>
      <c r="V264" s="2"/>
      <c r="Z264" s="2"/>
      <c r="AA264" s="2"/>
      <c r="AB264" s="2"/>
    </row>
    <row r="265" spans="1:28" x14ac:dyDescent="0.25">
      <c r="A265">
        <v>2347167796</v>
      </c>
      <c r="B265" s="1">
        <v>42488</v>
      </c>
      <c r="C265">
        <v>5439</v>
      </c>
      <c r="D265">
        <v>3.5999999046325701</v>
      </c>
      <c r="E265">
        <v>0</v>
      </c>
      <c r="F265">
        <v>0</v>
      </c>
      <c r="G265">
        <v>229</v>
      </c>
      <c r="H265">
        <v>1854</v>
      </c>
      <c r="Q265" s="2"/>
      <c r="V265" s="2"/>
      <c r="Z265" s="2"/>
      <c r="AA265" s="2"/>
      <c r="AB265" s="2"/>
    </row>
    <row r="266" spans="1:28" x14ac:dyDescent="0.25">
      <c r="A266">
        <v>2347167796</v>
      </c>
      <c r="B266" s="1">
        <v>42489</v>
      </c>
      <c r="C266">
        <v>42</v>
      </c>
      <c r="D266">
        <v>2.9999999329447701E-2</v>
      </c>
      <c r="E266">
        <v>0</v>
      </c>
      <c r="F266">
        <v>0</v>
      </c>
      <c r="G266">
        <v>4</v>
      </c>
      <c r="H266">
        <v>403</v>
      </c>
      <c r="Q266" s="2"/>
      <c r="V266" s="2"/>
      <c r="Z266" s="2"/>
      <c r="AA266" s="2"/>
      <c r="AB266" s="2"/>
    </row>
    <row r="267" spans="1:28" x14ac:dyDescent="0.25">
      <c r="A267">
        <v>2873212765</v>
      </c>
      <c r="B267" s="1">
        <v>42472</v>
      </c>
      <c r="C267">
        <v>8796</v>
      </c>
      <c r="D267">
        <v>5.9099998474121103</v>
      </c>
      <c r="E267">
        <v>2</v>
      </c>
      <c r="F267">
        <v>21</v>
      </c>
      <c r="G267">
        <v>356</v>
      </c>
      <c r="H267">
        <v>1982</v>
      </c>
      <c r="Q267" s="2"/>
      <c r="V267" s="2"/>
      <c r="Z267" s="2"/>
      <c r="AA267" s="2"/>
      <c r="AB267" s="2"/>
    </row>
    <row r="268" spans="1:28" x14ac:dyDescent="0.25">
      <c r="A268">
        <v>2873212765</v>
      </c>
      <c r="B268" s="1">
        <v>42473</v>
      </c>
      <c r="C268">
        <v>7618</v>
      </c>
      <c r="D268">
        <v>5.1199998855590803</v>
      </c>
      <c r="E268">
        <v>0</v>
      </c>
      <c r="F268">
        <v>8</v>
      </c>
      <c r="G268">
        <v>404</v>
      </c>
      <c r="H268">
        <v>2004</v>
      </c>
      <c r="Q268" s="2"/>
      <c r="V268" s="2"/>
      <c r="Z268" s="2"/>
      <c r="AA268" s="2"/>
      <c r="AB268" s="2"/>
    </row>
    <row r="269" spans="1:28" x14ac:dyDescent="0.25">
      <c r="A269">
        <v>2873212765</v>
      </c>
      <c r="B269" s="1">
        <v>42474</v>
      </c>
      <c r="C269">
        <v>7910</v>
      </c>
      <c r="D269">
        <v>5.3200001716613796</v>
      </c>
      <c r="E269">
        <v>0</v>
      </c>
      <c r="F269">
        <v>0</v>
      </c>
      <c r="G269">
        <v>331</v>
      </c>
      <c r="H269">
        <v>1893</v>
      </c>
      <c r="Q269" s="2"/>
      <c r="V269" s="2"/>
      <c r="Z269" s="2"/>
      <c r="AA269" s="2"/>
      <c r="AB269" s="2"/>
    </row>
    <row r="270" spans="1:28" x14ac:dyDescent="0.25">
      <c r="A270">
        <v>2873212765</v>
      </c>
      <c r="B270" s="1">
        <v>42475</v>
      </c>
      <c r="C270">
        <v>8482</v>
      </c>
      <c r="D270">
        <v>5.6999998092651403</v>
      </c>
      <c r="E270">
        <v>0</v>
      </c>
      <c r="F270">
        <v>0</v>
      </c>
      <c r="G270">
        <v>448</v>
      </c>
      <c r="H270">
        <v>2063</v>
      </c>
      <c r="Q270" s="2"/>
      <c r="V270" s="2"/>
      <c r="Z270" s="2"/>
      <c r="AA270" s="2"/>
      <c r="AB270" s="2"/>
    </row>
    <row r="271" spans="1:28" x14ac:dyDescent="0.25">
      <c r="A271">
        <v>2873212765</v>
      </c>
      <c r="B271" s="1">
        <v>42476</v>
      </c>
      <c r="C271">
        <v>9685</v>
      </c>
      <c r="D271">
        <v>6.6500000953674299</v>
      </c>
      <c r="E271">
        <v>47</v>
      </c>
      <c r="F271">
        <v>1</v>
      </c>
      <c r="G271">
        <v>305</v>
      </c>
      <c r="H271">
        <v>2148</v>
      </c>
      <c r="Q271" s="2"/>
      <c r="V271" s="2"/>
      <c r="Z271" s="2"/>
      <c r="AA271" s="2"/>
      <c r="AB271" s="2"/>
    </row>
    <row r="272" spans="1:28" x14ac:dyDescent="0.25">
      <c r="A272">
        <v>2873212765</v>
      </c>
      <c r="B272" s="1">
        <v>42477</v>
      </c>
      <c r="C272">
        <v>2524</v>
      </c>
      <c r="D272">
        <v>1.70000004768372</v>
      </c>
      <c r="E272">
        <v>0</v>
      </c>
      <c r="F272">
        <v>8</v>
      </c>
      <c r="G272">
        <v>160</v>
      </c>
      <c r="H272">
        <v>1529</v>
      </c>
      <c r="Q272" s="2"/>
      <c r="V272" s="2"/>
      <c r="Z272" s="2"/>
      <c r="AA272" s="2"/>
      <c r="AB272" s="2"/>
    </row>
    <row r="273" spans="1:28" x14ac:dyDescent="0.25">
      <c r="A273">
        <v>2873212765</v>
      </c>
      <c r="B273" s="1">
        <v>42478</v>
      </c>
      <c r="C273">
        <v>7762</v>
      </c>
      <c r="D273">
        <v>5.2399997711181596</v>
      </c>
      <c r="E273">
        <v>1</v>
      </c>
      <c r="F273">
        <v>6</v>
      </c>
      <c r="G273">
        <v>311</v>
      </c>
      <c r="H273">
        <v>1890</v>
      </c>
      <c r="Q273" s="2"/>
      <c r="V273" s="2"/>
      <c r="Z273" s="2"/>
      <c r="AA273" s="2"/>
      <c r="AB273" s="2"/>
    </row>
    <row r="274" spans="1:28" x14ac:dyDescent="0.25">
      <c r="A274">
        <v>2873212765</v>
      </c>
      <c r="B274" s="1">
        <v>42479</v>
      </c>
      <c r="C274">
        <v>7948</v>
      </c>
      <c r="D274">
        <v>5.3699998855590803</v>
      </c>
      <c r="E274">
        <v>0</v>
      </c>
      <c r="F274">
        <v>0</v>
      </c>
      <c r="G274">
        <v>389</v>
      </c>
      <c r="H274">
        <v>1956</v>
      </c>
      <c r="Q274" s="2"/>
      <c r="V274" s="2"/>
      <c r="Z274" s="2"/>
      <c r="AA274" s="2"/>
      <c r="AB274" s="2"/>
    </row>
    <row r="275" spans="1:28" x14ac:dyDescent="0.25">
      <c r="A275">
        <v>2873212765</v>
      </c>
      <c r="B275" s="1">
        <v>42480</v>
      </c>
      <c r="C275">
        <v>9202</v>
      </c>
      <c r="D275">
        <v>6.3000001907348597</v>
      </c>
      <c r="E275">
        <v>22</v>
      </c>
      <c r="F275">
        <v>5</v>
      </c>
      <c r="G275">
        <v>378</v>
      </c>
      <c r="H275">
        <v>2094</v>
      </c>
      <c r="Q275" s="2"/>
      <c r="V275" s="2"/>
      <c r="Z275" s="2"/>
      <c r="AA275" s="2"/>
      <c r="AB275" s="2"/>
    </row>
    <row r="276" spans="1:28" x14ac:dyDescent="0.25">
      <c r="A276">
        <v>2873212765</v>
      </c>
      <c r="B276" s="1">
        <v>42481</v>
      </c>
      <c r="C276">
        <v>8859</v>
      </c>
      <c r="D276">
        <v>5.9800000190734899</v>
      </c>
      <c r="E276">
        <v>2</v>
      </c>
      <c r="F276">
        <v>10</v>
      </c>
      <c r="G276">
        <v>371</v>
      </c>
      <c r="H276">
        <v>1970</v>
      </c>
      <c r="Q276" s="2"/>
      <c r="V276" s="2"/>
      <c r="Z276" s="2"/>
      <c r="AA276" s="2"/>
      <c r="AB276" s="2"/>
    </row>
    <row r="277" spans="1:28" x14ac:dyDescent="0.25">
      <c r="A277">
        <v>2873212765</v>
      </c>
      <c r="B277" s="1">
        <v>42482</v>
      </c>
      <c r="C277">
        <v>7286</v>
      </c>
      <c r="D277">
        <v>4.9000000953674299</v>
      </c>
      <c r="E277">
        <v>46</v>
      </c>
      <c r="F277">
        <v>0</v>
      </c>
      <c r="G277">
        <v>366</v>
      </c>
      <c r="H277">
        <v>2241</v>
      </c>
      <c r="Q277" s="2"/>
      <c r="V277" s="2"/>
      <c r="Z277" s="2"/>
      <c r="AA277" s="2"/>
      <c r="AB277" s="2"/>
    </row>
    <row r="278" spans="1:28" x14ac:dyDescent="0.25">
      <c r="A278">
        <v>2873212765</v>
      </c>
      <c r="B278" s="1">
        <v>42483</v>
      </c>
      <c r="C278">
        <v>9317</v>
      </c>
      <c r="D278">
        <v>6.3499999046325701</v>
      </c>
      <c r="E278">
        <v>28</v>
      </c>
      <c r="F278">
        <v>5</v>
      </c>
      <c r="G278">
        <v>330</v>
      </c>
      <c r="H278">
        <v>2021</v>
      </c>
      <c r="Q278" s="2"/>
      <c r="V278" s="2"/>
      <c r="Z278" s="2"/>
      <c r="AA278" s="2"/>
      <c r="AB278" s="2"/>
    </row>
    <row r="279" spans="1:28" x14ac:dyDescent="0.25">
      <c r="A279">
        <v>2873212765</v>
      </c>
      <c r="B279" s="1">
        <v>42484</v>
      </c>
      <c r="C279">
        <v>6873</v>
      </c>
      <c r="D279">
        <v>4.6799998283386204</v>
      </c>
      <c r="E279">
        <v>46</v>
      </c>
      <c r="F279">
        <v>1</v>
      </c>
      <c r="G279">
        <v>190</v>
      </c>
      <c r="H279">
        <v>1898</v>
      </c>
      <c r="Q279" s="2"/>
      <c r="V279" s="2"/>
      <c r="Z279" s="2"/>
      <c r="AA279" s="2"/>
      <c r="AB279" s="2"/>
    </row>
    <row r="280" spans="1:28" x14ac:dyDescent="0.25">
      <c r="A280">
        <v>2873212765</v>
      </c>
      <c r="B280" s="1">
        <v>42485</v>
      </c>
      <c r="C280">
        <v>7373</v>
      </c>
      <c r="D280">
        <v>4.9499998092651403</v>
      </c>
      <c r="E280">
        <v>0</v>
      </c>
      <c r="F280">
        <v>0</v>
      </c>
      <c r="G280">
        <v>359</v>
      </c>
      <c r="H280">
        <v>1907</v>
      </c>
      <c r="Q280" s="2"/>
      <c r="V280" s="2"/>
      <c r="Z280" s="2"/>
      <c r="AA280" s="2"/>
      <c r="AB280" s="2"/>
    </row>
    <row r="281" spans="1:28" x14ac:dyDescent="0.25">
      <c r="A281">
        <v>2873212765</v>
      </c>
      <c r="B281" s="1">
        <v>42486</v>
      </c>
      <c r="C281">
        <v>8242</v>
      </c>
      <c r="D281">
        <v>5.53999996185303</v>
      </c>
      <c r="E281">
        <v>2</v>
      </c>
      <c r="F281">
        <v>5</v>
      </c>
      <c r="G281">
        <v>309</v>
      </c>
      <c r="H281">
        <v>1882</v>
      </c>
      <c r="Q281" s="2"/>
      <c r="V281" s="2"/>
      <c r="Z281" s="2"/>
      <c r="AA281" s="2"/>
      <c r="AB281" s="2"/>
    </row>
    <row r="282" spans="1:28" x14ac:dyDescent="0.25">
      <c r="A282">
        <v>2873212765</v>
      </c>
      <c r="B282" s="1">
        <v>42487</v>
      </c>
      <c r="C282">
        <v>3516</v>
      </c>
      <c r="D282">
        <v>2.3599998950958301</v>
      </c>
      <c r="E282">
        <v>46</v>
      </c>
      <c r="F282">
        <v>0</v>
      </c>
      <c r="G282">
        <v>197</v>
      </c>
      <c r="H282">
        <v>1966</v>
      </c>
      <c r="Q282" s="2"/>
      <c r="V282" s="2"/>
      <c r="Z282" s="2"/>
      <c r="AA282" s="2"/>
      <c r="AB282" s="2"/>
    </row>
    <row r="283" spans="1:28" x14ac:dyDescent="0.25">
      <c r="A283">
        <v>2873212765</v>
      </c>
      <c r="B283" s="1">
        <v>42488</v>
      </c>
      <c r="C283">
        <v>7913</v>
      </c>
      <c r="D283">
        <v>5.4099998474121103</v>
      </c>
      <c r="E283">
        <v>28</v>
      </c>
      <c r="F283">
        <v>7</v>
      </c>
      <c r="G283">
        <v>213</v>
      </c>
      <c r="H283">
        <v>1835</v>
      </c>
      <c r="Q283" s="2"/>
      <c r="V283" s="2"/>
      <c r="Z283" s="2"/>
      <c r="AA283" s="2"/>
      <c r="AB283" s="2"/>
    </row>
    <row r="284" spans="1:28" x14ac:dyDescent="0.25">
      <c r="A284">
        <v>2873212765</v>
      </c>
      <c r="B284" s="1">
        <v>42489</v>
      </c>
      <c r="C284">
        <v>7365</v>
      </c>
      <c r="D284">
        <v>4.9499998092651403</v>
      </c>
      <c r="E284">
        <v>20</v>
      </c>
      <c r="F284">
        <v>23</v>
      </c>
      <c r="G284">
        <v>206</v>
      </c>
      <c r="H284">
        <v>1780</v>
      </c>
      <c r="Q284" s="2"/>
      <c r="V284" s="2"/>
      <c r="Z284" s="2"/>
      <c r="AA284" s="2"/>
      <c r="AB284" s="2"/>
    </row>
    <row r="285" spans="1:28" x14ac:dyDescent="0.25">
      <c r="A285">
        <v>2873212765</v>
      </c>
      <c r="B285" s="1">
        <v>42490</v>
      </c>
      <c r="C285">
        <v>8452</v>
      </c>
      <c r="D285">
        <v>5.6799998283386204</v>
      </c>
      <c r="E285">
        <v>5</v>
      </c>
      <c r="F285">
        <v>20</v>
      </c>
      <c r="G285">
        <v>248</v>
      </c>
      <c r="H285">
        <v>1830</v>
      </c>
      <c r="Q285" s="2"/>
      <c r="V285" s="2"/>
      <c r="Z285" s="2"/>
      <c r="AA285" s="2"/>
      <c r="AB285" s="2"/>
    </row>
    <row r="286" spans="1:28" x14ac:dyDescent="0.25">
      <c r="A286">
        <v>2873212765</v>
      </c>
      <c r="B286" s="1">
        <v>42491</v>
      </c>
      <c r="C286">
        <v>7399</v>
      </c>
      <c r="D286">
        <v>4.9699997901916504</v>
      </c>
      <c r="E286">
        <v>7</v>
      </c>
      <c r="F286">
        <v>18</v>
      </c>
      <c r="G286">
        <v>196</v>
      </c>
      <c r="H286">
        <v>1739</v>
      </c>
      <c r="Q286" s="2"/>
      <c r="V286" s="2"/>
      <c r="Z286" s="2"/>
      <c r="AA286" s="2"/>
      <c r="AB286" s="2"/>
    </row>
    <row r="287" spans="1:28" x14ac:dyDescent="0.25">
      <c r="A287">
        <v>2873212765</v>
      </c>
      <c r="B287" s="1">
        <v>42492</v>
      </c>
      <c r="C287">
        <v>7525</v>
      </c>
      <c r="D287">
        <v>5.0599999427795401</v>
      </c>
      <c r="E287">
        <v>0</v>
      </c>
      <c r="F287">
        <v>7</v>
      </c>
      <c r="G287">
        <v>334</v>
      </c>
      <c r="H287">
        <v>1878</v>
      </c>
      <c r="Q287" s="2"/>
      <c r="V287" s="2"/>
      <c r="Z287" s="2"/>
      <c r="AA287" s="2"/>
      <c r="AB287" s="2"/>
    </row>
    <row r="288" spans="1:28" x14ac:dyDescent="0.25">
      <c r="A288">
        <v>2873212765</v>
      </c>
      <c r="B288" s="1">
        <v>42493</v>
      </c>
      <c r="C288">
        <v>7412</v>
      </c>
      <c r="D288">
        <v>4.9800000190734899</v>
      </c>
      <c r="E288">
        <v>1</v>
      </c>
      <c r="F288">
        <v>6</v>
      </c>
      <c r="G288">
        <v>363</v>
      </c>
      <c r="H288">
        <v>1906</v>
      </c>
      <c r="Q288" s="2"/>
      <c r="V288" s="2"/>
      <c r="Z288" s="2"/>
      <c r="AA288" s="2"/>
      <c r="AB288" s="2"/>
    </row>
    <row r="289" spans="1:28" x14ac:dyDescent="0.25">
      <c r="A289">
        <v>2873212765</v>
      </c>
      <c r="B289" s="1">
        <v>42494</v>
      </c>
      <c r="C289">
        <v>8278</v>
      </c>
      <c r="D289">
        <v>5.5599999427795401</v>
      </c>
      <c r="E289">
        <v>0</v>
      </c>
      <c r="F289">
        <v>0</v>
      </c>
      <c r="G289">
        <v>420</v>
      </c>
      <c r="H289">
        <v>2015</v>
      </c>
      <c r="Q289" s="2"/>
      <c r="V289" s="2"/>
      <c r="Z289" s="2"/>
      <c r="AA289" s="2"/>
      <c r="AB289" s="2"/>
    </row>
    <row r="290" spans="1:28" x14ac:dyDescent="0.25">
      <c r="A290">
        <v>2873212765</v>
      </c>
      <c r="B290" s="1">
        <v>42495</v>
      </c>
      <c r="C290">
        <v>8314</v>
      </c>
      <c r="D290">
        <v>5.6100001335143999</v>
      </c>
      <c r="E290">
        <v>13</v>
      </c>
      <c r="F290">
        <v>23</v>
      </c>
      <c r="G290">
        <v>311</v>
      </c>
      <c r="H290">
        <v>1971</v>
      </c>
      <c r="Q290" s="2"/>
      <c r="V290" s="2"/>
      <c r="Z290" s="2"/>
      <c r="AA290" s="2"/>
      <c r="AB290" s="2"/>
    </row>
    <row r="291" spans="1:28" x14ac:dyDescent="0.25">
      <c r="A291">
        <v>2873212765</v>
      </c>
      <c r="B291" s="1">
        <v>42496</v>
      </c>
      <c r="C291">
        <v>7063</v>
      </c>
      <c r="D291">
        <v>4.75</v>
      </c>
      <c r="E291">
        <v>0</v>
      </c>
      <c r="F291">
        <v>5</v>
      </c>
      <c r="G291">
        <v>370</v>
      </c>
      <c r="H291">
        <v>1910</v>
      </c>
      <c r="Q291" s="2"/>
      <c r="V291" s="2"/>
      <c r="Z291" s="2"/>
      <c r="AA291" s="2"/>
      <c r="AB291" s="2"/>
    </row>
    <row r="292" spans="1:28" x14ac:dyDescent="0.25">
      <c r="A292">
        <v>2873212765</v>
      </c>
      <c r="B292" s="1">
        <v>42497</v>
      </c>
      <c r="C292">
        <v>4940</v>
      </c>
      <c r="D292">
        <v>3.3800001144409202</v>
      </c>
      <c r="E292">
        <v>75</v>
      </c>
      <c r="F292">
        <v>11</v>
      </c>
      <c r="G292">
        <v>52</v>
      </c>
      <c r="H292">
        <v>1897</v>
      </c>
      <c r="Q292" s="2"/>
      <c r="V292" s="2"/>
      <c r="Z292" s="2"/>
      <c r="AA292" s="2"/>
      <c r="AB292" s="2"/>
    </row>
    <row r="293" spans="1:28" x14ac:dyDescent="0.25">
      <c r="A293">
        <v>2873212765</v>
      </c>
      <c r="B293" s="1">
        <v>42498</v>
      </c>
      <c r="C293">
        <v>8168</v>
      </c>
      <c r="D293">
        <v>5.53999996185303</v>
      </c>
      <c r="E293">
        <v>46</v>
      </c>
      <c r="F293">
        <v>0</v>
      </c>
      <c r="G293">
        <v>326</v>
      </c>
      <c r="H293">
        <v>2096</v>
      </c>
      <c r="Q293" s="2"/>
      <c r="V293" s="2"/>
      <c r="Z293" s="2"/>
      <c r="AA293" s="2"/>
      <c r="AB293" s="2"/>
    </row>
    <row r="294" spans="1:28" x14ac:dyDescent="0.25">
      <c r="A294">
        <v>2873212765</v>
      </c>
      <c r="B294" s="1">
        <v>42499</v>
      </c>
      <c r="C294">
        <v>7726</v>
      </c>
      <c r="D294">
        <v>5.1900000572204599</v>
      </c>
      <c r="E294">
        <v>0</v>
      </c>
      <c r="F294">
        <v>0</v>
      </c>
      <c r="G294">
        <v>345</v>
      </c>
      <c r="H294">
        <v>1906</v>
      </c>
      <c r="Q294" s="2"/>
      <c r="V294" s="2"/>
      <c r="Z294" s="2"/>
      <c r="AA294" s="2"/>
      <c r="AB294" s="2"/>
    </row>
    <row r="295" spans="1:28" x14ac:dyDescent="0.25">
      <c r="A295">
        <v>2873212765</v>
      </c>
      <c r="B295" s="1">
        <v>42500</v>
      </c>
      <c r="C295">
        <v>8275</v>
      </c>
      <c r="D295">
        <v>5.5599999427795401</v>
      </c>
      <c r="E295">
        <v>0</v>
      </c>
      <c r="F295">
        <v>0</v>
      </c>
      <c r="G295">
        <v>373</v>
      </c>
      <c r="H295">
        <v>1962</v>
      </c>
      <c r="Q295" s="2"/>
      <c r="V295" s="2"/>
      <c r="Z295" s="2"/>
      <c r="AA295" s="2"/>
      <c r="AB295" s="2"/>
    </row>
    <row r="296" spans="1:28" x14ac:dyDescent="0.25">
      <c r="A296">
        <v>2873212765</v>
      </c>
      <c r="B296" s="1">
        <v>42501</v>
      </c>
      <c r="C296">
        <v>6440</v>
      </c>
      <c r="D296">
        <v>4.3299999237060502</v>
      </c>
      <c r="E296">
        <v>0</v>
      </c>
      <c r="F296">
        <v>0</v>
      </c>
      <c r="G296">
        <v>319</v>
      </c>
      <c r="H296">
        <v>1826</v>
      </c>
      <c r="Q296" s="2"/>
      <c r="V296" s="2"/>
      <c r="Z296" s="2"/>
      <c r="AA296" s="2"/>
      <c r="AB296" s="2"/>
    </row>
    <row r="297" spans="1:28" x14ac:dyDescent="0.25">
      <c r="A297">
        <v>2873212765</v>
      </c>
      <c r="B297" s="1">
        <v>42502</v>
      </c>
      <c r="C297">
        <v>7566</v>
      </c>
      <c r="D297">
        <v>5.1100001335143999</v>
      </c>
      <c r="E297">
        <v>0</v>
      </c>
      <c r="F297">
        <v>0</v>
      </c>
      <c r="G297">
        <v>268</v>
      </c>
      <c r="H297">
        <v>1431</v>
      </c>
      <c r="Q297" s="2"/>
      <c r="V297" s="2"/>
      <c r="Z297" s="2"/>
      <c r="AA297" s="2"/>
      <c r="AB297" s="2"/>
    </row>
    <row r="298" spans="1:28" x14ac:dyDescent="0.25">
      <c r="A298">
        <v>3372868164</v>
      </c>
      <c r="B298" s="1">
        <v>42472</v>
      </c>
      <c r="C298">
        <v>4747</v>
      </c>
      <c r="D298">
        <v>3.2400000095367401</v>
      </c>
      <c r="E298">
        <v>0</v>
      </c>
      <c r="F298">
        <v>0</v>
      </c>
      <c r="G298">
        <v>280</v>
      </c>
      <c r="H298">
        <v>1788</v>
      </c>
      <c r="Q298" s="2"/>
      <c r="V298" s="2"/>
      <c r="Z298" s="2"/>
      <c r="AA298" s="2"/>
      <c r="AB298" s="2"/>
    </row>
    <row r="299" spans="1:28" x14ac:dyDescent="0.25">
      <c r="A299">
        <v>3372868164</v>
      </c>
      <c r="B299" s="1">
        <v>42473</v>
      </c>
      <c r="C299">
        <v>9715</v>
      </c>
      <c r="D299">
        <v>6.6300001144409197</v>
      </c>
      <c r="E299">
        <v>16</v>
      </c>
      <c r="F299">
        <v>8</v>
      </c>
      <c r="G299">
        <v>371</v>
      </c>
      <c r="H299">
        <v>2093</v>
      </c>
      <c r="Q299" s="2"/>
      <c r="V299" s="2"/>
      <c r="Z299" s="2"/>
      <c r="AA299" s="2"/>
      <c r="AB299" s="2"/>
    </row>
    <row r="300" spans="1:28" x14ac:dyDescent="0.25">
      <c r="A300">
        <v>3372868164</v>
      </c>
      <c r="B300" s="1">
        <v>42474</v>
      </c>
      <c r="C300">
        <v>8844</v>
      </c>
      <c r="D300">
        <v>6.0300002098083496</v>
      </c>
      <c r="E300">
        <v>6</v>
      </c>
      <c r="F300">
        <v>25</v>
      </c>
      <c r="G300">
        <v>370</v>
      </c>
      <c r="H300">
        <v>2065</v>
      </c>
      <c r="Q300" s="2"/>
      <c r="V300" s="2"/>
      <c r="Z300" s="2"/>
      <c r="AA300" s="2"/>
      <c r="AB300" s="2"/>
    </row>
    <row r="301" spans="1:28" x14ac:dyDescent="0.25">
      <c r="A301">
        <v>3372868164</v>
      </c>
      <c r="B301" s="1">
        <v>42475</v>
      </c>
      <c r="C301">
        <v>7451</v>
      </c>
      <c r="D301">
        <v>5.0799999237060502</v>
      </c>
      <c r="E301">
        <v>0</v>
      </c>
      <c r="F301">
        <v>0</v>
      </c>
      <c r="G301">
        <v>335</v>
      </c>
      <c r="H301">
        <v>1908</v>
      </c>
      <c r="Q301" s="2"/>
      <c r="V301" s="2"/>
      <c r="Z301" s="2"/>
      <c r="AA301" s="2"/>
      <c r="AB301" s="2"/>
    </row>
    <row r="302" spans="1:28" x14ac:dyDescent="0.25">
      <c r="A302">
        <v>3372868164</v>
      </c>
      <c r="B302" s="1">
        <v>42476</v>
      </c>
      <c r="C302">
        <v>6905</v>
      </c>
      <c r="D302">
        <v>4.7300000190734899</v>
      </c>
      <c r="E302">
        <v>0</v>
      </c>
      <c r="F302">
        <v>0</v>
      </c>
      <c r="G302">
        <v>356</v>
      </c>
      <c r="H302">
        <v>1908</v>
      </c>
      <c r="Q302" s="2"/>
      <c r="V302" s="2"/>
      <c r="Z302" s="2"/>
      <c r="AA302" s="2"/>
      <c r="AB302" s="2"/>
    </row>
    <row r="303" spans="1:28" x14ac:dyDescent="0.25">
      <c r="A303">
        <v>3372868164</v>
      </c>
      <c r="B303" s="1">
        <v>42477</v>
      </c>
      <c r="C303">
        <v>8199</v>
      </c>
      <c r="D303">
        <v>5.8800001144409197</v>
      </c>
      <c r="E303">
        <v>11</v>
      </c>
      <c r="F303">
        <v>2</v>
      </c>
      <c r="G303">
        <v>322</v>
      </c>
      <c r="H303">
        <v>1964</v>
      </c>
      <c r="Q303" s="2"/>
      <c r="V303" s="2"/>
      <c r="Z303" s="2"/>
      <c r="AA303" s="2"/>
      <c r="AB303" s="2"/>
    </row>
    <row r="304" spans="1:28" x14ac:dyDescent="0.25">
      <c r="A304">
        <v>3372868164</v>
      </c>
      <c r="B304" s="1">
        <v>42478</v>
      </c>
      <c r="C304">
        <v>6798</v>
      </c>
      <c r="D304">
        <v>4.6399998664856001</v>
      </c>
      <c r="E304">
        <v>20</v>
      </c>
      <c r="F304">
        <v>7</v>
      </c>
      <c r="G304">
        <v>343</v>
      </c>
      <c r="H304">
        <v>2014</v>
      </c>
      <c r="Q304" s="2"/>
      <c r="V304" s="2"/>
      <c r="Z304" s="2"/>
      <c r="AA304" s="2"/>
      <c r="AB304" s="2"/>
    </row>
    <row r="305" spans="1:28" x14ac:dyDescent="0.25">
      <c r="A305">
        <v>3372868164</v>
      </c>
      <c r="B305" s="1">
        <v>42479</v>
      </c>
      <c r="C305">
        <v>7711</v>
      </c>
      <c r="D305">
        <v>5.2600002288818404</v>
      </c>
      <c r="E305">
        <v>0</v>
      </c>
      <c r="F305">
        <v>0</v>
      </c>
      <c r="G305">
        <v>376</v>
      </c>
      <c r="H305">
        <v>1985</v>
      </c>
      <c r="Q305" s="2"/>
      <c r="V305" s="2"/>
      <c r="Z305" s="2"/>
      <c r="AA305" s="2"/>
      <c r="AB305" s="2"/>
    </row>
    <row r="306" spans="1:28" x14ac:dyDescent="0.25">
      <c r="A306">
        <v>3372868164</v>
      </c>
      <c r="B306" s="1">
        <v>42480</v>
      </c>
      <c r="C306">
        <v>4880</v>
      </c>
      <c r="D306">
        <v>3.3299999237060498</v>
      </c>
      <c r="E306">
        <v>15</v>
      </c>
      <c r="F306">
        <v>3</v>
      </c>
      <c r="G306">
        <v>274</v>
      </c>
      <c r="H306">
        <v>1867</v>
      </c>
      <c r="Q306" s="2"/>
      <c r="V306" s="2"/>
      <c r="Z306" s="2"/>
      <c r="AA306" s="2"/>
      <c r="AB306" s="2"/>
    </row>
    <row r="307" spans="1:28" x14ac:dyDescent="0.25">
      <c r="A307">
        <v>3372868164</v>
      </c>
      <c r="B307" s="1">
        <v>42481</v>
      </c>
      <c r="C307">
        <v>8857</v>
      </c>
      <c r="D307">
        <v>6.0700001716613796</v>
      </c>
      <c r="E307">
        <v>18</v>
      </c>
      <c r="F307">
        <v>9</v>
      </c>
      <c r="G307">
        <v>376</v>
      </c>
      <c r="H307">
        <v>2124</v>
      </c>
      <c r="Q307" s="2"/>
      <c r="V307" s="2"/>
      <c r="Z307" s="2"/>
      <c r="AA307" s="2"/>
      <c r="AB307" s="2"/>
    </row>
    <row r="308" spans="1:28" x14ac:dyDescent="0.25">
      <c r="A308">
        <v>3372868164</v>
      </c>
      <c r="B308" s="1">
        <v>42482</v>
      </c>
      <c r="C308">
        <v>3843</v>
      </c>
      <c r="D308">
        <v>2.6199998855590798</v>
      </c>
      <c r="E308">
        <v>0</v>
      </c>
      <c r="F308">
        <v>0</v>
      </c>
      <c r="G308">
        <v>206</v>
      </c>
      <c r="H308">
        <v>1669</v>
      </c>
      <c r="Q308" s="2"/>
      <c r="V308" s="2"/>
      <c r="Z308" s="2"/>
      <c r="AA308" s="2"/>
      <c r="AB308" s="2"/>
    </row>
    <row r="309" spans="1:28" x14ac:dyDescent="0.25">
      <c r="A309">
        <v>3372868164</v>
      </c>
      <c r="B309" s="1">
        <v>42483</v>
      </c>
      <c r="C309">
        <v>7396</v>
      </c>
      <c r="D309">
        <v>5.0700001716613796</v>
      </c>
      <c r="E309">
        <v>20</v>
      </c>
      <c r="F309">
        <v>2</v>
      </c>
      <c r="G309">
        <v>303</v>
      </c>
      <c r="H309">
        <v>1995</v>
      </c>
      <c r="Q309" s="2"/>
      <c r="V309" s="2"/>
      <c r="Z309" s="2"/>
      <c r="AA309" s="2"/>
      <c r="AB309" s="2"/>
    </row>
    <row r="310" spans="1:28" x14ac:dyDescent="0.25">
      <c r="A310">
        <v>3372868164</v>
      </c>
      <c r="B310" s="1">
        <v>42484</v>
      </c>
      <c r="C310">
        <v>6731</v>
      </c>
      <c r="D310">
        <v>4.5900001525878897</v>
      </c>
      <c r="E310">
        <v>14</v>
      </c>
      <c r="F310">
        <v>7</v>
      </c>
      <c r="G310">
        <v>292</v>
      </c>
      <c r="H310">
        <v>1921</v>
      </c>
      <c r="Q310" s="2"/>
      <c r="V310" s="2"/>
      <c r="Z310" s="2"/>
      <c r="AA310" s="2"/>
      <c r="AB310" s="2"/>
    </row>
    <row r="311" spans="1:28" x14ac:dyDescent="0.25">
      <c r="A311">
        <v>3372868164</v>
      </c>
      <c r="B311" s="1">
        <v>42485</v>
      </c>
      <c r="C311">
        <v>5995</v>
      </c>
      <c r="D311">
        <v>4.0900001525878897</v>
      </c>
      <c r="E311">
        <v>0</v>
      </c>
      <c r="F311">
        <v>0</v>
      </c>
      <c r="G311">
        <v>416</v>
      </c>
      <c r="H311">
        <v>2010</v>
      </c>
      <c r="Q311" s="2"/>
      <c r="V311" s="2"/>
      <c r="Z311" s="2"/>
      <c r="AA311" s="2"/>
      <c r="AB311" s="2"/>
    </row>
    <row r="312" spans="1:28" x14ac:dyDescent="0.25">
      <c r="A312">
        <v>3372868164</v>
      </c>
      <c r="B312" s="1">
        <v>42486</v>
      </c>
      <c r="C312">
        <v>8283</v>
      </c>
      <c r="D312">
        <v>5.78999996185303</v>
      </c>
      <c r="E312">
        <v>22</v>
      </c>
      <c r="F312">
        <v>2</v>
      </c>
      <c r="G312">
        <v>333</v>
      </c>
      <c r="H312">
        <v>2057</v>
      </c>
      <c r="Q312" s="2"/>
      <c r="V312" s="2"/>
      <c r="Z312" s="2"/>
      <c r="AA312" s="2"/>
      <c r="AB312" s="2"/>
    </row>
    <row r="313" spans="1:28" x14ac:dyDescent="0.25">
      <c r="A313">
        <v>3372868164</v>
      </c>
      <c r="B313" s="1">
        <v>42487</v>
      </c>
      <c r="C313">
        <v>7904</v>
      </c>
      <c r="D313">
        <v>5.4200000762939498</v>
      </c>
      <c r="E313">
        <v>24</v>
      </c>
      <c r="F313">
        <v>13</v>
      </c>
      <c r="G313">
        <v>346</v>
      </c>
      <c r="H313">
        <v>2095</v>
      </c>
      <c r="Q313" s="2"/>
      <c r="V313" s="2"/>
      <c r="Z313" s="2"/>
      <c r="AA313" s="2"/>
      <c r="AB313" s="2"/>
    </row>
    <row r="314" spans="1:28" x14ac:dyDescent="0.25">
      <c r="A314">
        <v>3372868164</v>
      </c>
      <c r="B314" s="1">
        <v>42488</v>
      </c>
      <c r="C314">
        <v>5512</v>
      </c>
      <c r="D314">
        <v>3.7599999904632599</v>
      </c>
      <c r="E314">
        <v>0</v>
      </c>
      <c r="F314">
        <v>0</v>
      </c>
      <c r="G314">
        <v>385</v>
      </c>
      <c r="H314">
        <v>1972</v>
      </c>
      <c r="Q314" s="2"/>
      <c r="V314" s="2"/>
      <c r="Z314" s="2"/>
      <c r="AA314" s="2"/>
      <c r="AB314" s="2"/>
    </row>
    <row r="315" spans="1:28" x14ac:dyDescent="0.25">
      <c r="A315">
        <v>3372868164</v>
      </c>
      <c r="B315" s="1">
        <v>42489</v>
      </c>
      <c r="C315">
        <v>9135</v>
      </c>
      <c r="D315">
        <v>6.2300000190734899</v>
      </c>
      <c r="E315">
        <v>0</v>
      </c>
      <c r="F315">
        <v>0</v>
      </c>
      <c r="G315">
        <v>402</v>
      </c>
      <c r="H315">
        <v>2044</v>
      </c>
      <c r="Q315" s="2"/>
      <c r="V315" s="2"/>
      <c r="Z315" s="2"/>
      <c r="AA315" s="2"/>
      <c r="AB315" s="2"/>
    </row>
    <row r="316" spans="1:28" x14ac:dyDescent="0.25">
      <c r="A316">
        <v>3372868164</v>
      </c>
      <c r="B316" s="1">
        <v>42490</v>
      </c>
      <c r="C316">
        <v>5250</v>
      </c>
      <c r="D316">
        <v>3.5799999237060498</v>
      </c>
      <c r="E316">
        <v>17</v>
      </c>
      <c r="F316">
        <v>4</v>
      </c>
      <c r="G316">
        <v>300</v>
      </c>
      <c r="H316">
        <v>1946</v>
      </c>
      <c r="Q316" s="2"/>
      <c r="V316" s="2"/>
      <c r="Z316" s="2"/>
      <c r="AA316" s="2"/>
      <c r="AB316" s="2"/>
    </row>
    <row r="317" spans="1:28" x14ac:dyDescent="0.25">
      <c r="A317">
        <v>3372868164</v>
      </c>
      <c r="B317" s="1">
        <v>42491</v>
      </c>
      <c r="C317">
        <v>3077</v>
      </c>
      <c r="D317">
        <v>2.0999999046325701</v>
      </c>
      <c r="E317">
        <v>0</v>
      </c>
      <c r="F317">
        <v>0</v>
      </c>
      <c r="G317">
        <v>172</v>
      </c>
      <c r="H317">
        <v>1237</v>
      </c>
      <c r="Q317" s="2"/>
      <c r="V317" s="2"/>
      <c r="Z317" s="2"/>
      <c r="AA317" s="2"/>
      <c r="AB317" s="2"/>
    </row>
    <row r="318" spans="1:28" x14ac:dyDescent="0.25">
      <c r="A318">
        <v>3977333714</v>
      </c>
      <c r="B318" s="1">
        <v>42472</v>
      </c>
      <c r="C318">
        <v>8856</v>
      </c>
      <c r="D318">
        <v>5.9800000190734899</v>
      </c>
      <c r="E318">
        <v>44</v>
      </c>
      <c r="F318">
        <v>19</v>
      </c>
      <c r="G318">
        <v>131</v>
      </c>
      <c r="H318">
        <v>1450</v>
      </c>
      <c r="Q318" s="2"/>
      <c r="V318" s="2"/>
      <c r="Z318" s="2"/>
      <c r="AA318" s="2"/>
      <c r="AB318" s="2"/>
    </row>
    <row r="319" spans="1:28" x14ac:dyDescent="0.25">
      <c r="A319">
        <v>3977333714</v>
      </c>
      <c r="B319" s="1">
        <v>42473</v>
      </c>
      <c r="C319">
        <v>10035</v>
      </c>
      <c r="D319">
        <v>6.71000003814697</v>
      </c>
      <c r="E319">
        <v>31</v>
      </c>
      <c r="F319">
        <v>46</v>
      </c>
      <c r="G319">
        <v>153</v>
      </c>
      <c r="H319">
        <v>1495</v>
      </c>
      <c r="Q319" s="2"/>
      <c r="V319" s="2"/>
      <c r="Z319" s="2"/>
      <c r="AA319" s="2"/>
      <c r="AB319" s="2"/>
    </row>
    <row r="320" spans="1:28" x14ac:dyDescent="0.25">
      <c r="A320">
        <v>3977333714</v>
      </c>
      <c r="B320" s="1">
        <v>42474</v>
      </c>
      <c r="C320">
        <v>7641</v>
      </c>
      <c r="D320">
        <v>5.1100001335143999</v>
      </c>
      <c r="E320">
        <v>5</v>
      </c>
      <c r="F320">
        <v>23</v>
      </c>
      <c r="G320">
        <v>214</v>
      </c>
      <c r="H320">
        <v>1433</v>
      </c>
      <c r="Q320" s="2"/>
      <c r="V320" s="2"/>
      <c r="Z320" s="2"/>
      <c r="AA320" s="2"/>
      <c r="AB320" s="2"/>
    </row>
    <row r="321" spans="1:28" x14ac:dyDescent="0.25">
      <c r="A321">
        <v>3977333714</v>
      </c>
      <c r="B321" s="1">
        <v>42475</v>
      </c>
      <c r="C321">
        <v>9010</v>
      </c>
      <c r="D321">
        <v>6.0599999427795401</v>
      </c>
      <c r="E321">
        <v>15</v>
      </c>
      <c r="F321">
        <v>42</v>
      </c>
      <c r="G321">
        <v>183</v>
      </c>
      <c r="H321">
        <v>1468</v>
      </c>
      <c r="Q321" s="2"/>
      <c r="V321" s="2"/>
      <c r="Z321" s="2"/>
      <c r="AA321" s="2"/>
      <c r="AB321" s="2"/>
    </row>
    <row r="322" spans="1:28" x14ac:dyDescent="0.25">
      <c r="A322">
        <v>3977333714</v>
      </c>
      <c r="B322" s="1">
        <v>42476</v>
      </c>
      <c r="C322">
        <v>13459</v>
      </c>
      <c r="D322">
        <v>9</v>
      </c>
      <c r="E322">
        <v>31</v>
      </c>
      <c r="F322">
        <v>83</v>
      </c>
      <c r="G322">
        <v>153</v>
      </c>
      <c r="H322">
        <v>1625</v>
      </c>
      <c r="Q322" s="2"/>
      <c r="V322" s="2"/>
      <c r="Z322" s="2"/>
      <c r="AA322" s="2"/>
      <c r="AB322" s="2"/>
    </row>
    <row r="323" spans="1:28" x14ac:dyDescent="0.25">
      <c r="A323">
        <v>3977333714</v>
      </c>
      <c r="B323" s="1">
        <v>42477</v>
      </c>
      <c r="C323">
        <v>10415</v>
      </c>
      <c r="D323">
        <v>6.9699997901916504</v>
      </c>
      <c r="E323">
        <v>11</v>
      </c>
      <c r="F323">
        <v>58</v>
      </c>
      <c r="G323">
        <v>205</v>
      </c>
      <c r="H323">
        <v>1529</v>
      </c>
      <c r="Q323" s="2"/>
      <c r="V323" s="2"/>
      <c r="Z323" s="2"/>
      <c r="AA323" s="2"/>
      <c r="AB323" s="2"/>
    </row>
    <row r="324" spans="1:28" x14ac:dyDescent="0.25">
      <c r="A324">
        <v>3977333714</v>
      </c>
      <c r="B324" s="1">
        <v>42478</v>
      </c>
      <c r="C324">
        <v>11663</v>
      </c>
      <c r="D324">
        <v>7.8000001907348597</v>
      </c>
      <c r="E324">
        <v>4</v>
      </c>
      <c r="F324">
        <v>95</v>
      </c>
      <c r="G324">
        <v>214</v>
      </c>
      <c r="H324">
        <v>1584</v>
      </c>
      <c r="Q324" s="2"/>
      <c r="V324" s="2"/>
      <c r="Z324" s="2"/>
      <c r="AA324" s="2"/>
      <c r="AB324" s="2"/>
    </row>
    <row r="325" spans="1:28" x14ac:dyDescent="0.25">
      <c r="A325">
        <v>3977333714</v>
      </c>
      <c r="B325" s="1">
        <v>42479</v>
      </c>
      <c r="C325">
        <v>12414</v>
      </c>
      <c r="D325">
        <v>8.7799997329711896</v>
      </c>
      <c r="E325">
        <v>19</v>
      </c>
      <c r="F325">
        <v>67</v>
      </c>
      <c r="G325">
        <v>221</v>
      </c>
      <c r="H325">
        <v>1638</v>
      </c>
      <c r="Q325" s="2"/>
      <c r="V325" s="2"/>
      <c r="Z325" s="2"/>
      <c r="AA325" s="2"/>
      <c r="AB325" s="2"/>
    </row>
    <row r="326" spans="1:28" x14ac:dyDescent="0.25">
      <c r="A326">
        <v>3977333714</v>
      </c>
      <c r="B326" s="1">
        <v>42480</v>
      </c>
      <c r="C326">
        <v>11658</v>
      </c>
      <c r="D326">
        <v>7.8299999237060502</v>
      </c>
      <c r="E326">
        <v>2</v>
      </c>
      <c r="F326">
        <v>98</v>
      </c>
      <c r="G326">
        <v>164</v>
      </c>
      <c r="H326">
        <v>1554</v>
      </c>
      <c r="Q326" s="2"/>
      <c r="V326" s="2"/>
      <c r="Z326" s="2"/>
      <c r="AA326" s="2"/>
      <c r="AB326" s="2"/>
    </row>
    <row r="327" spans="1:28" x14ac:dyDescent="0.25">
      <c r="A327">
        <v>3977333714</v>
      </c>
      <c r="B327" s="1">
        <v>42481</v>
      </c>
      <c r="C327">
        <v>6093</v>
      </c>
      <c r="D327">
        <v>4.0799999237060502</v>
      </c>
      <c r="E327">
        <v>0</v>
      </c>
      <c r="F327">
        <v>0</v>
      </c>
      <c r="G327">
        <v>242</v>
      </c>
      <c r="H327">
        <v>1397</v>
      </c>
      <c r="Q327" s="2"/>
      <c r="V327" s="2"/>
      <c r="Z327" s="2"/>
      <c r="AA327" s="2"/>
      <c r="AB327" s="2"/>
    </row>
    <row r="328" spans="1:28" x14ac:dyDescent="0.25">
      <c r="A328">
        <v>3977333714</v>
      </c>
      <c r="B328" s="1">
        <v>42482</v>
      </c>
      <c r="C328">
        <v>8911</v>
      </c>
      <c r="D328">
        <v>5.96000003814697</v>
      </c>
      <c r="E328">
        <v>33</v>
      </c>
      <c r="F328">
        <v>12</v>
      </c>
      <c r="G328">
        <v>188</v>
      </c>
      <c r="H328">
        <v>1481</v>
      </c>
      <c r="Q328" s="2"/>
      <c r="V328" s="2"/>
      <c r="Z328" s="2"/>
      <c r="AA328" s="2"/>
      <c r="AB328" s="2"/>
    </row>
    <row r="329" spans="1:28" x14ac:dyDescent="0.25">
      <c r="A329">
        <v>3977333714</v>
      </c>
      <c r="B329" s="1">
        <v>42483</v>
      </c>
      <c r="C329">
        <v>12058</v>
      </c>
      <c r="D329">
        <v>8.0699996948242205</v>
      </c>
      <c r="E329">
        <v>0</v>
      </c>
      <c r="F329">
        <v>92</v>
      </c>
      <c r="G329">
        <v>252</v>
      </c>
      <c r="H329">
        <v>1638</v>
      </c>
      <c r="Q329" s="2"/>
      <c r="V329" s="2"/>
      <c r="Z329" s="2"/>
      <c r="AA329" s="2"/>
      <c r="AB329" s="2"/>
    </row>
    <row r="330" spans="1:28" x14ac:dyDescent="0.25">
      <c r="A330">
        <v>3977333714</v>
      </c>
      <c r="B330" s="1">
        <v>42484</v>
      </c>
      <c r="C330">
        <v>14112</v>
      </c>
      <c r="D330">
        <v>10</v>
      </c>
      <c r="E330">
        <v>30</v>
      </c>
      <c r="F330">
        <v>95</v>
      </c>
      <c r="G330">
        <v>129</v>
      </c>
      <c r="H330">
        <v>1655</v>
      </c>
      <c r="Q330" s="2"/>
      <c r="V330" s="2"/>
      <c r="Z330" s="2"/>
      <c r="AA330" s="2"/>
      <c r="AB330" s="2"/>
    </row>
    <row r="331" spans="1:28" x14ac:dyDescent="0.25">
      <c r="A331">
        <v>3977333714</v>
      </c>
      <c r="B331" s="1">
        <v>42485</v>
      </c>
      <c r="C331">
        <v>11177</v>
      </c>
      <c r="D331">
        <v>8.4799995422363299</v>
      </c>
      <c r="E331">
        <v>50</v>
      </c>
      <c r="F331">
        <v>9</v>
      </c>
      <c r="G331">
        <v>133</v>
      </c>
      <c r="H331">
        <v>1570</v>
      </c>
      <c r="Q331" s="2"/>
      <c r="V331" s="2"/>
      <c r="Z331" s="2"/>
      <c r="AA331" s="2"/>
      <c r="AB331" s="2"/>
    </row>
    <row r="332" spans="1:28" x14ac:dyDescent="0.25">
      <c r="A332">
        <v>3977333714</v>
      </c>
      <c r="B332" s="1">
        <v>42486</v>
      </c>
      <c r="C332">
        <v>11388</v>
      </c>
      <c r="D332">
        <v>7.6199998855590803</v>
      </c>
      <c r="E332">
        <v>7</v>
      </c>
      <c r="F332">
        <v>95</v>
      </c>
      <c r="G332">
        <v>170</v>
      </c>
      <c r="H332">
        <v>1551</v>
      </c>
      <c r="Q332" s="2"/>
      <c r="V332" s="2"/>
      <c r="Z332" s="2"/>
      <c r="AA332" s="2"/>
      <c r="AB332" s="2"/>
    </row>
    <row r="333" spans="1:28" x14ac:dyDescent="0.25">
      <c r="A333">
        <v>3977333714</v>
      </c>
      <c r="B333" s="1">
        <v>42487</v>
      </c>
      <c r="C333">
        <v>7193</v>
      </c>
      <c r="D333">
        <v>5.03999996185303</v>
      </c>
      <c r="E333">
        <v>0</v>
      </c>
      <c r="F333">
        <v>10</v>
      </c>
      <c r="G333">
        <v>176</v>
      </c>
      <c r="H333">
        <v>1377</v>
      </c>
      <c r="Q333" s="2"/>
      <c r="V333" s="2"/>
      <c r="Z333" s="2"/>
      <c r="AA333" s="2"/>
      <c r="AB333" s="2"/>
    </row>
    <row r="334" spans="1:28" x14ac:dyDescent="0.25">
      <c r="A334">
        <v>3977333714</v>
      </c>
      <c r="B334" s="1">
        <v>42488</v>
      </c>
      <c r="C334">
        <v>7114</v>
      </c>
      <c r="D334">
        <v>4.8800001144409197</v>
      </c>
      <c r="E334">
        <v>15</v>
      </c>
      <c r="F334">
        <v>8</v>
      </c>
      <c r="G334">
        <v>190</v>
      </c>
      <c r="H334">
        <v>1407</v>
      </c>
      <c r="Q334" s="2"/>
      <c r="V334" s="2"/>
      <c r="Z334" s="2"/>
      <c r="AA334" s="2"/>
      <c r="AB334" s="2"/>
    </row>
    <row r="335" spans="1:28" x14ac:dyDescent="0.25">
      <c r="A335">
        <v>3977333714</v>
      </c>
      <c r="B335" s="1">
        <v>42489</v>
      </c>
      <c r="C335">
        <v>10645</v>
      </c>
      <c r="D335">
        <v>7.75</v>
      </c>
      <c r="E335">
        <v>36</v>
      </c>
      <c r="F335">
        <v>32</v>
      </c>
      <c r="G335">
        <v>150</v>
      </c>
      <c r="H335">
        <v>1545</v>
      </c>
      <c r="Q335" s="2"/>
      <c r="V335" s="2"/>
      <c r="Z335" s="2"/>
      <c r="AA335" s="2"/>
      <c r="AB335" s="2"/>
    </row>
    <row r="336" spans="1:28" x14ac:dyDescent="0.25">
      <c r="A336">
        <v>3977333714</v>
      </c>
      <c r="B336" s="1">
        <v>42490</v>
      </c>
      <c r="C336">
        <v>13238</v>
      </c>
      <c r="D336">
        <v>9.1999998092651403</v>
      </c>
      <c r="E336">
        <v>43</v>
      </c>
      <c r="F336">
        <v>52</v>
      </c>
      <c r="G336">
        <v>194</v>
      </c>
      <c r="H336">
        <v>1650</v>
      </c>
      <c r="Q336" s="2"/>
      <c r="V336" s="2"/>
      <c r="Z336" s="2"/>
      <c r="AA336" s="2"/>
      <c r="AB336" s="2"/>
    </row>
    <row r="337" spans="1:28" x14ac:dyDescent="0.25">
      <c r="A337">
        <v>3977333714</v>
      </c>
      <c r="B337" s="1">
        <v>42491</v>
      </c>
      <c r="C337">
        <v>10414</v>
      </c>
      <c r="D337">
        <v>7.0700001716613796</v>
      </c>
      <c r="E337">
        <v>41</v>
      </c>
      <c r="F337">
        <v>40</v>
      </c>
      <c r="G337">
        <v>124</v>
      </c>
      <c r="H337">
        <v>1501</v>
      </c>
      <c r="Q337" s="2"/>
      <c r="V337" s="2"/>
      <c r="Z337" s="2"/>
      <c r="AA337" s="2"/>
      <c r="AB337" s="2"/>
    </row>
    <row r="338" spans="1:28" x14ac:dyDescent="0.25">
      <c r="A338">
        <v>3977333714</v>
      </c>
      <c r="B338" s="1">
        <v>42492</v>
      </c>
      <c r="C338">
        <v>16520</v>
      </c>
      <c r="D338">
        <v>11.050000190734901</v>
      </c>
      <c r="E338">
        <v>24</v>
      </c>
      <c r="F338">
        <v>143</v>
      </c>
      <c r="G338">
        <v>176</v>
      </c>
      <c r="H338">
        <v>1760</v>
      </c>
      <c r="Q338" s="2"/>
      <c r="V338" s="2"/>
      <c r="Z338" s="2"/>
      <c r="AA338" s="2"/>
      <c r="AB338" s="2"/>
    </row>
    <row r="339" spans="1:28" x14ac:dyDescent="0.25">
      <c r="A339">
        <v>3977333714</v>
      </c>
      <c r="B339" s="1">
        <v>42493</v>
      </c>
      <c r="C339">
        <v>14335</v>
      </c>
      <c r="D339">
        <v>9.5900001525878906</v>
      </c>
      <c r="E339">
        <v>47</v>
      </c>
      <c r="F339">
        <v>41</v>
      </c>
      <c r="G339">
        <v>258</v>
      </c>
      <c r="H339">
        <v>1710</v>
      </c>
      <c r="Q339" s="2"/>
      <c r="V339" s="2"/>
      <c r="Z339" s="2"/>
      <c r="AA339" s="2"/>
      <c r="AB339" s="2"/>
    </row>
    <row r="340" spans="1:28" x14ac:dyDescent="0.25">
      <c r="A340">
        <v>3977333714</v>
      </c>
      <c r="B340" s="1">
        <v>42494</v>
      </c>
      <c r="C340">
        <v>13559</v>
      </c>
      <c r="D340">
        <v>9.4399995803833008</v>
      </c>
      <c r="E340">
        <v>14</v>
      </c>
      <c r="F340">
        <v>96</v>
      </c>
      <c r="G340">
        <v>142</v>
      </c>
      <c r="H340">
        <v>1628</v>
      </c>
      <c r="Q340" s="2"/>
      <c r="V340" s="2"/>
      <c r="Z340" s="2"/>
      <c r="AA340" s="2"/>
      <c r="AB340" s="2"/>
    </row>
    <row r="341" spans="1:28" x14ac:dyDescent="0.25">
      <c r="A341">
        <v>3977333714</v>
      </c>
      <c r="B341" s="1">
        <v>42495</v>
      </c>
      <c r="C341">
        <v>12312</v>
      </c>
      <c r="D341">
        <v>8.5799999237060494</v>
      </c>
      <c r="E341">
        <v>14</v>
      </c>
      <c r="F341">
        <v>88</v>
      </c>
      <c r="G341">
        <v>178</v>
      </c>
      <c r="H341">
        <v>1618</v>
      </c>
      <c r="Q341" s="2"/>
      <c r="V341" s="2"/>
      <c r="Z341" s="2"/>
      <c r="AA341" s="2"/>
      <c r="AB341" s="2"/>
    </row>
    <row r="342" spans="1:28" x14ac:dyDescent="0.25">
      <c r="A342">
        <v>3977333714</v>
      </c>
      <c r="B342" s="1">
        <v>42496</v>
      </c>
      <c r="C342">
        <v>11677</v>
      </c>
      <c r="D342">
        <v>8.2799997329711896</v>
      </c>
      <c r="E342">
        <v>29</v>
      </c>
      <c r="F342">
        <v>55</v>
      </c>
      <c r="G342">
        <v>168</v>
      </c>
      <c r="H342">
        <v>1590</v>
      </c>
      <c r="Q342" s="2"/>
      <c r="V342" s="2"/>
      <c r="Z342" s="2"/>
      <c r="AA342" s="2"/>
      <c r="AB342" s="2"/>
    </row>
    <row r="343" spans="1:28" x14ac:dyDescent="0.25">
      <c r="A343">
        <v>3977333714</v>
      </c>
      <c r="B343" s="1">
        <v>42497</v>
      </c>
      <c r="C343">
        <v>11550</v>
      </c>
      <c r="D343">
        <v>7.7300000190734899</v>
      </c>
      <c r="E343">
        <v>0</v>
      </c>
      <c r="F343">
        <v>86</v>
      </c>
      <c r="G343">
        <v>208</v>
      </c>
      <c r="H343">
        <v>1574</v>
      </c>
      <c r="Q343" s="2"/>
      <c r="V343" s="2"/>
      <c r="Z343" s="2"/>
      <c r="AA343" s="2"/>
      <c r="AB343" s="2"/>
    </row>
    <row r="344" spans="1:28" x14ac:dyDescent="0.25">
      <c r="A344">
        <v>3977333714</v>
      </c>
      <c r="B344" s="1">
        <v>42498</v>
      </c>
      <c r="C344">
        <v>13585</v>
      </c>
      <c r="D344">
        <v>9.0900001525878906</v>
      </c>
      <c r="E344">
        <v>9</v>
      </c>
      <c r="F344">
        <v>116</v>
      </c>
      <c r="G344">
        <v>171</v>
      </c>
      <c r="H344">
        <v>1633</v>
      </c>
      <c r="Q344" s="2"/>
      <c r="V344" s="2"/>
      <c r="Z344" s="2"/>
      <c r="AA344" s="2"/>
      <c r="AB344" s="2"/>
    </row>
    <row r="345" spans="1:28" x14ac:dyDescent="0.25">
      <c r="A345">
        <v>3977333714</v>
      </c>
      <c r="B345" s="1">
        <v>42499</v>
      </c>
      <c r="C345">
        <v>14687</v>
      </c>
      <c r="D345">
        <v>10.079999923706101</v>
      </c>
      <c r="E345">
        <v>8</v>
      </c>
      <c r="F345">
        <v>122</v>
      </c>
      <c r="G345">
        <v>151</v>
      </c>
      <c r="H345">
        <v>1667</v>
      </c>
      <c r="Q345" s="2"/>
      <c r="V345" s="2"/>
      <c r="Z345" s="2"/>
      <c r="AA345" s="2"/>
      <c r="AB345" s="2"/>
    </row>
    <row r="346" spans="1:28" x14ac:dyDescent="0.25">
      <c r="A346">
        <v>3977333714</v>
      </c>
      <c r="B346" s="1">
        <v>42500</v>
      </c>
      <c r="C346">
        <v>13072</v>
      </c>
      <c r="D346">
        <v>8.7799997329711896</v>
      </c>
      <c r="E346">
        <v>1</v>
      </c>
      <c r="F346">
        <v>115</v>
      </c>
      <c r="G346">
        <v>196</v>
      </c>
      <c r="H346">
        <v>1630</v>
      </c>
      <c r="Q346" s="2"/>
      <c r="V346" s="2"/>
      <c r="Z346" s="2"/>
      <c r="AA346" s="2"/>
      <c r="AB346" s="2"/>
    </row>
    <row r="347" spans="1:28" x14ac:dyDescent="0.25">
      <c r="A347">
        <v>3977333714</v>
      </c>
      <c r="B347" s="1">
        <v>42501</v>
      </c>
      <c r="C347">
        <v>746</v>
      </c>
      <c r="D347">
        <v>0.5</v>
      </c>
      <c r="E347">
        <v>4</v>
      </c>
      <c r="F347">
        <v>0</v>
      </c>
      <c r="G347">
        <v>9</v>
      </c>
      <c r="H347">
        <v>52</v>
      </c>
      <c r="Q347" s="2"/>
      <c r="V347" s="2"/>
      <c r="Z347" s="2"/>
      <c r="AA347" s="2"/>
      <c r="AB347" s="2"/>
    </row>
    <row r="348" spans="1:28" x14ac:dyDescent="0.25">
      <c r="A348">
        <v>4020332650</v>
      </c>
      <c r="B348" s="1">
        <v>42472</v>
      </c>
      <c r="C348">
        <v>8539</v>
      </c>
      <c r="D348">
        <v>6.1199998855590803</v>
      </c>
      <c r="E348">
        <v>4</v>
      </c>
      <c r="F348">
        <v>15</v>
      </c>
      <c r="G348">
        <v>331</v>
      </c>
      <c r="H348">
        <v>3654</v>
      </c>
      <c r="Q348" s="2"/>
      <c r="V348" s="2"/>
      <c r="Z348" s="2"/>
      <c r="AA348" s="2"/>
      <c r="AB348" s="2"/>
    </row>
    <row r="349" spans="1:28" x14ac:dyDescent="0.25">
      <c r="A349">
        <v>4020332650</v>
      </c>
      <c r="B349" s="1">
        <v>42473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1981</v>
      </c>
      <c r="Q349" s="2"/>
      <c r="V349" s="2"/>
      <c r="Z349" s="2"/>
      <c r="AA349" s="2"/>
      <c r="AB349" s="2"/>
    </row>
    <row r="350" spans="1:28" x14ac:dyDescent="0.25">
      <c r="A350">
        <v>4020332650</v>
      </c>
      <c r="B350" s="1">
        <v>42474</v>
      </c>
      <c r="C350">
        <v>108</v>
      </c>
      <c r="D350">
        <v>7.9999998211860698E-2</v>
      </c>
      <c r="E350">
        <v>0</v>
      </c>
      <c r="F350">
        <v>0</v>
      </c>
      <c r="G350">
        <v>3</v>
      </c>
      <c r="H350">
        <v>2011</v>
      </c>
      <c r="Q350" s="2"/>
      <c r="V350" s="2"/>
      <c r="Z350" s="2"/>
      <c r="AA350" s="2"/>
      <c r="AB350" s="2"/>
    </row>
    <row r="351" spans="1:28" x14ac:dyDescent="0.25">
      <c r="A351">
        <v>4020332650</v>
      </c>
      <c r="B351" s="1">
        <v>42475</v>
      </c>
      <c r="C351">
        <v>1882</v>
      </c>
      <c r="D351">
        <v>1.3500000238418599</v>
      </c>
      <c r="E351">
        <v>36</v>
      </c>
      <c r="F351">
        <v>18</v>
      </c>
      <c r="G351">
        <v>87</v>
      </c>
      <c r="H351">
        <v>2951</v>
      </c>
      <c r="Q351" s="2"/>
      <c r="V351" s="2"/>
      <c r="Z351" s="2"/>
      <c r="AA351" s="2"/>
      <c r="AB351" s="2"/>
    </row>
    <row r="352" spans="1:28" x14ac:dyDescent="0.25">
      <c r="A352">
        <v>4020332650</v>
      </c>
      <c r="B352" s="1">
        <v>42476</v>
      </c>
      <c r="C352">
        <v>1982</v>
      </c>
      <c r="D352">
        <v>1.41999995708466</v>
      </c>
      <c r="E352">
        <v>65</v>
      </c>
      <c r="F352">
        <v>21</v>
      </c>
      <c r="G352">
        <v>55</v>
      </c>
      <c r="H352">
        <v>3051</v>
      </c>
      <c r="Q352" s="2"/>
      <c r="V352" s="2"/>
      <c r="Z352" s="2"/>
      <c r="AA352" s="2"/>
      <c r="AB352" s="2"/>
    </row>
    <row r="353" spans="1:28" x14ac:dyDescent="0.25">
      <c r="A353">
        <v>4020332650</v>
      </c>
      <c r="B353" s="1">
        <v>42477</v>
      </c>
      <c r="C353">
        <v>16</v>
      </c>
      <c r="D353">
        <v>9.9999997764825804E-3</v>
      </c>
      <c r="E353">
        <v>0</v>
      </c>
      <c r="F353">
        <v>0</v>
      </c>
      <c r="G353">
        <v>2</v>
      </c>
      <c r="H353">
        <v>1990</v>
      </c>
      <c r="Q353" s="2"/>
      <c r="V353" s="2"/>
      <c r="Z353" s="2"/>
      <c r="AA353" s="2"/>
      <c r="AB353" s="2"/>
    </row>
    <row r="354" spans="1:28" x14ac:dyDescent="0.25">
      <c r="A354">
        <v>4020332650</v>
      </c>
      <c r="B354" s="1">
        <v>42478</v>
      </c>
      <c r="C354">
        <v>62</v>
      </c>
      <c r="D354">
        <v>3.9999999105930301E-2</v>
      </c>
      <c r="E354">
        <v>0</v>
      </c>
      <c r="F354">
        <v>0</v>
      </c>
      <c r="G354">
        <v>2</v>
      </c>
      <c r="H354">
        <v>1995</v>
      </c>
      <c r="Q354" s="2"/>
      <c r="V354" s="2"/>
      <c r="Z354" s="2"/>
      <c r="AA354" s="2"/>
      <c r="AB354" s="2"/>
    </row>
    <row r="355" spans="1:28" x14ac:dyDescent="0.25">
      <c r="A355">
        <v>4020332650</v>
      </c>
      <c r="B355" s="1">
        <v>42479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1980</v>
      </c>
      <c r="Q355" s="2"/>
      <c r="V355" s="2"/>
      <c r="Z355" s="2"/>
      <c r="AA355" s="2"/>
      <c r="AB355" s="2"/>
    </row>
    <row r="356" spans="1:28" x14ac:dyDescent="0.25">
      <c r="A356">
        <v>4020332650</v>
      </c>
      <c r="B356" s="1">
        <v>42480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1980</v>
      </c>
      <c r="Q356" s="2"/>
      <c r="V356" s="2"/>
      <c r="Z356" s="2"/>
      <c r="AA356" s="2"/>
      <c r="AB356" s="2"/>
    </row>
    <row r="357" spans="1:28" x14ac:dyDescent="0.25">
      <c r="A357">
        <v>4020332650</v>
      </c>
      <c r="B357" s="1">
        <v>42481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1980</v>
      </c>
      <c r="Q357" s="2"/>
      <c r="V357" s="2"/>
      <c r="Z357" s="2"/>
      <c r="AA357" s="2"/>
      <c r="AB357" s="2"/>
    </row>
    <row r="358" spans="1:28" x14ac:dyDescent="0.25">
      <c r="A358">
        <v>4020332650</v>
      </c>
      <c r="B358" s="1">
        <v>42482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1980</v>
      </c>
      <c r="Q358" s="2"/>
      <c r="V358" s="2"/>
      <c r="Z358" s="2"/>
      <c r="AA358" s="2"/>
      <c r="AB358" s="2"/>
    </row>
    <row r="359" spans="1:28" x14ac:dyDescent="0.25">
      <c r="A359">
        <v>4020332650</v>
      </c>
      <c r="B359" s="1">
        <v>42483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1980</v>
      </c>
      <c r="Q359" s="2"/>
      <c r="V359" s="2"/>
      <c r="Z359" s="2"/>
      <c r="AA359" s="2"/>
      <c r="AB359" s="2"/>
    </row>
    <row r="360" spans="1:28" x14ac:dyDescent="0.25">
      <c r="A360">
        <v>4020332650</v>
      </c>
      <c r="B360" s="1">
        <v>42484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1980</v>
      </c>
      <c r="Q360" s="2"/>
      <c r="V360" s="2"/>
      <c r="Z360" s="2"/>
      <c r="AA360" s="2"/>
      <c r="AB360" s="2"/>
    </row>
    <row r="361" spans="1:28" x14ac:dyDescent="0.25">
      <c r="A361">
        <v>4020332650</v>
      </c>
      <c r="B361" s="1">
        <v>42485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1980</v>
      </c>
      <c r="Q361" s="2"/>
      <c r="V361" s="2"/>
      <c r="Z361" s="2"/>
      <c r="AA361" s="2"/>
      <c r="AB361" s="2"/>
    </row>
    <row r="362" spans="1:28" x14ac:dyDescent="0.25">
      <c r="A362">
        <v>4020332650</v>
      </c>
      <c r="B362" s="1">
        <v>42486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1980</v>
      </c>
      <c r="Q362" s="2"/>
      <c r="V362" s="2"/>
      <c r="Z362" s="2"/>
      <c r="AA362" s="2"/>
      <c r="AB362" s="2"/>
    </row>
    <row r="363" spans="1:28" x14ac:dyDescent="0.25">
      <c r="A363">
        <v>4020332650</v>
      </c>
      <c r="B363" s="1">
        <v>42487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1980</v>
      </c>
      <c r="Q363" s="2"/>
      <c r="V363" s="2"/>
      <c r="Z363" s="2"/>
      <c r="AA363" s="2"/>
      <c r="AB363" s="2"/>
    </row>
    <row r="364" spans="1:28" x14ac:dyDescent="0.25">
      <c r="A364">
        <v>4020332650</v>
      </c>
      <c r="B364" s="1">
        <v>42488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1980</v>
      </c>
      <c r="Q364" s="2"/>
      <c r="V364" s="2"/>
      <c r="Z364" s="2"/>
      <c r="AA364" s="2"/>
      <c r="AB364" s="2"/>
    </row>
    <row r="365" spans="1:28" x14ac:dyDescent="0.25">
      <c r="A365">
        <v>4020332650</v>
      </c>
      <c r="B365" s="1">
        <v>42489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1980</v>
      </c>
      <c r="Q365" s="2"/>
      <c r="V365" s="2"/>
      <c r="Z365" s="2"/>
      <c r="AA365" s="2"/>
      <c r="AB365" s="2"/>
    </row>
    <row r="366" spans="1:28" x14ac:dyDescent="0.25">
      <c r="A366">
        <v>4020332650</v>
      </c>
      <c r="B366" s="1">
        <v>42490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1980</v>
      </c>
      <c r="Q366" s="2"/>
      <c r="V366" s="2"/>
      <c r="Z366" s="2"/>
      <c r="AA366" s="2"/>
      <c r="AB366" s="2"/>
    </row>
    <row r="367" spans="1:28" x14ac:dyDescent="0.25">
      <c r="A367">
        <v>4020332650</v>
      </c>
      <c r="B367" s="1">
        <v>42491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1980</v>
      </c>
      <c r="Q367" s="2"/>
      <c r="V367" s="2"/>
      <c r="Z367" s="2"/>
      <c r="AA367" s="2"/>
      <c r="AB367" s="2"/>
    </row>
    <row r="368" spans="1:28" x14ac:dyDescent="0.25">
      <c r="A368">
        <v>4020332650</v>
      </c>
      <c r="B368" s="1">
        <v>42492</v>
      </c>
      <c r="C368">
        <v>475</v>
      </c>
      <c r="D368">
        <v>0.34000000357627902</v>
      </c>
      <c r="E368">
        <v>0</v>
      </c>
      <c r="F368">
        <v>11</v>
      </c>
      <c r="G368">
        <v>31</v>
      </c>
      <c r="H368">
        <v>2207</v>
      </c>
      <c r="Q368" s="2"/>
      <c r="V368" s="2"/>
      <c r="Z368" s="2"/>
      <c r="AA368" s="2"/>
      <c r="AB368" s="2"/>
    </row>
    <row r="369" spans="1:28" x14ac:dyDescent="0.25">
      <c r="A369">
        <v>4020332650</v>
      </c>
      <c r="B369" s="1">
        <v>42493</v>
      </c>
      <c r="C369">
        <v>4496</v>
      </c>
      <c r="D369">
        <v>3.2200000286102299</v>
      </c>
      <c r="E369">
        <v>0</v>
      </c>
      <c r="F369">
        <v>0</v>
      </c>
      <c r="G369">
        <v>174</v>
      </c>
      <c r="H369">
        <v>2828</v>
      </c>
      <c r="Q369" s="2"/>
      <c r="V369" s="2"/>
      <c r="Z369" s="2"/>
      <c r="AA369" s="2"/>
      <c r="AB369" s="2"/>
    </row>
    <row r="370" spans="1:28" x14ac:dyDescent="0.25">
      <c r="A370">
        <v>4020332650</v>
      </c>
      <c r="B370" s="1">
        <v>42494</v>
      </c>
      <c r="C370">
        <v>10252</v>
      </c>
      <c r="D370">
        <v>7.3499999046325701</v>
      </c>
      <c r="E370">
        <v>13</v>
      </c>
      <c r="F370">
        <v>46</v>
      </c>
      <c r="G370">
        <v>346</v>
      </c>
      <c r="H370">
        <v>3879</v>
      </c>
      <c r="Q370" s="2"/>
      <c r="V370" s="2"/>
      <c r="Z370" s="2"/>
      <c r="AA370" s="2"/>
      <c r="AB370" s="2"/>
    </row>
    <row r="371" spans="1:28" x14ac:dyDescent="0.25">
      <c r="A371">
        <v>4020332650</v>
      </c>
      <c r="B371" s="1">
        <v>42495</v>
      </c>
      <c r="C371">
        <v>11728</v>
      </c>
      <c r="D371">
        <v>8.4300003051757795</v>
      </c>
      <c r="E371">
        <v>38</v>
      </c>
      <c r="F371">
        <v>42</v>
      </c>
      <c r="G371">
        <v>196</v>
      </c>
      <c r="H371">
        <v>3429</v>
      </c>
      <c r="Q371" s="2"/>
      <c r="V371" s="2"/>
      <c r="Z371" s="2"/>
      <c r="AA371" s="2"/>
      <c r="AB371" s="2"/>
    </row>
    <row r="372" spans="1:28" x14ac:dyDescent="0.25">
      <c r="A372">
        <v>4020332650</v>
      </c>
      <c r="B372" s="1">
        <v>42496</v>
      </c>
      <c r="C372">
        <v>4369</v>
      </c>
      <c r="D372">
        <v>3.1300001144409202</v>
      </c>
      <c r="E372">
        <v>0</v>
      </c>
      <c r="F372">
        <v>0</v>
      </c>
      <c r="G372">
        <v>177</v>
      </c>
      <c r="H372">
        <v>2704</v>
      </c>
      <c r="Q372" s="2"/>
      <c r="V372" s="2"/>
      <c r="Z372" s="2"/>
      <c r="AA372" s="2"/>
      <c r="AB372" s="2"/>
    </row>
    <row r="373" spans="1:28" x14ac:dyDescent="0.25">
      <c r="A373">
        <v>4020332650</v>
      </c>
      <c r="B373" s="1">
        <v>42497</v>
      </c>
      <c r="C373">
        <v>6132</v>
      </c>
      <c r="D373">
        <v>4.4000000953674299</v>
      </c>
      <c r="E373">
        <v>0</v>
      </c>
      <c r="F373">
        <v>0</v>
      </c>
      <c r="G373">
        <v>184</v>
      </c>
      <c r="H373">
        <v>2975</v>
      </c>
      <c r="Q373" s="2"/>
      <c r="V373" s="2"/>
      <c r="Z373" s="2"/>
      <c r="AA373" s="2"/>
      <c r="AB373" s="2"/>
    </row>
    <row r="374" spans="1:28" x14ac:dyDescent="0.25">
      <c r="A374">
        <v>4020332650</v>
      </c>
      <c r="B374" s="1">
        <v>42498</v>
      </c>
      <c r="C374">
        <v>5862</v>
      </c>
      <c r="D374">
        <v>4.1999998092651403</v>
      </c>
      <c r="E374">
        <v>0</v>
      </c>
      <c r="F374">
        <v>0</v>
      </c>
      <c r="G374">
        <v>263</v>
      </c>
      <c r="H374">
        <v>3089</v>
      </c>
      <c r="Q374" s="2"/>
      <c r="V374" s="2"/>
      <c r="Z374" s="2"/>
      <c r="AA374" s="2"/>
      <c r="AB374" s="2"/>
    </row>
    <row r="375" spans="1:28" x14ac:dyDescent="0.25">
      <c r="A375">
        <v>4020332650</v>
      </c>
      <c r="B375" s="1">
        <v>42499</v>
      </c>
      <c r="C375">
        <v>4556</v>
      </c>
      <c r="D375">
        <v>3.2699999809265101</v>
      </c>
      <c r="E375">
        <v>3</v>
      </c>
      <c r="F375">
        <v>5</v>
      </c>
      <c r="G375">
        <v>173</v>
      </c>
      <c r="H375">
        <v>2785</v>
      </c>
      <c r="Q375" s="2"/>
      <c r="V375" s="2"/>
      <c r="Z375" s="2"/>
      <c r="AA375" s="2"/>
      <c r="AB375" s="2"/>
    </row>
    <row r="376" spans="1:28" x14ac:dyDescent="0.25">
      <c r="A376">
        <v>4020332650</v>
      </c>
      <c r="B376" s="1">
        <v>42500</v>
      </c>
      <c r="C376">
        <v>5546</v>
      </c>
      <c r="D376">
        <v>3.9800000190734899</v>
      </c>
      <c r="E376">
        <v>0</v>
      </c>
      <c r="F376">
        <v>0</v>
      </c>
      <c r="G376">
        <v>206</v>
      </c>
      <c r="H376">
        <v>2926</v>
      </c>
      <c r="Q376" s="2"/>
      <c r="V376" s="2"/>
      <c r="Z376" s="2"/>
      <c r="AA376" s="2"/>
      <c r="AB376" s="2"/>
    </row>
    <row r="377" spans="1:28" x14ac:dyDescent="0.25">
      <c r="A377">
        <v>4020332650</v>
      </c>
      <c r="B377" s="1">
        <v>42501</v>
      </c>
      <c r="C377">
        <v>3689</v>
      </c>
      <c r="D377">
        <v>2.6500000953674299</v>
      </c>
      <c r="E377">
        <v>2</v>
      </c>
      <c r="F377">
        <v>8</v>
      </c>
      <c r="G377">
        <v>134</v>
      </c>
      <c r="H377">
        <v>2645</v>
      </c>
      <c r="Q377" s="2"/>
      <c r="V377" s="2"/>
      <c r="Z377" s="2"/>
      <c r="AA377" s="2"/>
      <c r="AB377" s="2"/>
    </row>
    <row r="378" spans="1:28" x14ac:dyDescent="0.25">
      <c r="A378">
        <v>4020332650</v>
      </c>
      <c r="B378" s="1">
        <v>42502</v>
      </c>
      <c r="C378">
        <v>590</v>
      </c>
      <c r="D378">
        <v>0.41999998688697798</v>
      </c>
      <c r="E378">
        <v>0</v>
      </c>
      <c r="F378">
        <v>0</v>
      </c>
      <c r="G378">
        <v>21</v>
      </c>
      <c r="H378">
        <v>1120</v>
      </c>
      <c r="Q378" s="2"/>
      <c r="V378" s="2"/>
      <c r="Z378" s="2"/>
      <c r="AA378" s="2"/>
      <c r="AB378" s="2"/>
    </row>
    <row r="379" spans="1:28" x14ac:dyDescent="0.25">
      <c r="A379">
        <v>4057192912</v>
      </c>
      <c r="B379" s="1">
        <v>42472</v>
      </c>
      <c r="C379">
        <v>5394</v>
      </c>
      <c r="D379">
        <v>4.0300002098083496</v>
      </c>
      <c r="E379">
        <v>0</v>
      </c>
      <c r="F379">
        <v>0</v>
      </c>
      <c r="G379">
        <v>164</v>
      </c>
      <c r="H379">
        <v>2286</v>
      </c>
      <c r="Q379" s="2"/>
      <c r="V379" s="2"/>
      <c r="Z379" s="2"/>
      <c r="AA379" s="2"/>
      <c r="AB379" s="2"/>
    </row>
    <row r="380" spans="1:28" x14ac:dyDescent="0.25">
      <c r="A380">
        <v>4057192912</v>
      </c>
      <c r="B380" s="1">
        <v>42473</v>
      </c>
      <c r="C380">
        <v>5974</v>
      </c>
      <c r="D380">
        <v>4.4699997901916504</v>
      </c>
      <c r="E380">
        <v>0</v>
      </c>
      <c r="F380">
        <v>0</v>
      </c>
      <c r="G380">
        <v>160</v>
      </c>
      <c r="H380">
        <v>2306</v>
      </c>
      <c r="Q380" s="2"/>
      <c r="V380" s="2"/>
      <c r="Z380" s="2"/>
      <c r="AA380" s="2"/>
      <c r="AB380" s="2"/>
    </row>
    <row r="381" spans="1:28" x14ac:dyDescent="0.25">
      <c r="A381">
        <v>4057192912</v>
      </c>
      <c r="B381" s="1">
        <v>42474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1776</v>
      </c>
      <c r="Q381" s="2"/>
      <c r="V381" s="2"/>
      <c r="Z381" s="2"/>
      <c r="AA381" s="2"/>
      <c r="AB381" s="2"/>
    </row>
    <row r="382" spans="1:28" x14ac:dyDescent="0.25">
      <c r="A382">
        <v>4057192912</v>
      </c>
      <c r="B382" s="1">
        <v>42475</v>
      </c>
      <c r="C382">
        <v>3984</v>
      </c>
      <c r="D382">
        <v>2.9500000476837198</v>
      </c>
      <c r="E382">
        <v>3</v>
      </c>
      <c r="F382">
        <v>6</v>
      </c>
      <c r="G382">
        <v>88</v>
      </c>
      <c r="H382">
        <v>1527</v>
      </c>
      <c r="Q382" s="2"/>
      <c r="V382" s="2"/>
      <c r="Z382" s="2"/>
      <c r="AA382" s="2"/>
      <c r="AB382" s="2"/>
    </row>
    <row r="383" spans="1:28" x14ac:dyDescent="0.25">
      <c r="A383">
        <v>4319703577</v>
      </c>
      <c r="B383" s="1">
        <v>42472</v>
      </c>
      <c r="C383">
        <v>7753</v>
      </c>
      <c r="D383">
        <v>5.1999998092651403</v>
      </c>
      <c r="E383">
        <v>0</v>
      </c>
      <c r="F383">
        <v>0</v>
      </c>
      <c r="G383">
        <v>0</v>
      </c>
      <c r="H383">
        <v>2115</v>
      </c>
      <c r="Q383" s="2"/>
      <c r="V383" s="2"/>
      <c r="Z383" s="2"/>
      <c r="AA383" s="2"/>
      <c r="AB383" s="2"/>
    </row>
    <row r="384" spans="1:28" x14ac:dyDescent="0.25">
      <c r="A384">
        <v>4319703577</v>
      </c>
      <c r="B384" s="1">
        <v>42473</v>
      </c>
      <c r="C384">
        <v>8204</v>
      </c>
      <c r="D384">
        <v>5.5</v>
      </c>
      <c r="E384">
        <v>8</v>
      </c>
      <c r="F384">
        <v>15</v>
      </c>
      <c r="G384">
        <v>96</v>
      </c>
      <c r="H384">
        <v>2135</v>
      </c>
      <c r="Q384" s="2"/>
      <c r="V384" s="2"/>
      <c r="Z384" s="2"/>
      <c r="AA384" s="2"/>
      <c r="AB384" s="2"/>
    </row>
    <row r="385" spans="1:28" x14ac:dyDescent="0.25">
      <c r="A385">
        <v>4319703577</v>
      </c>
      <c r="B385" s="1">
        <v>42474</v>
      </c>
      <c r="C385">
        <v>10210</v>
      </c>
      <c r="D385">
        <v>6.8800001144409197</v>
      </c>
      <c r="E385">
        <v>1</v>
      </c>
      <c r="F385">
        <v>9</v>
      </c>
      <c r="G385">
        <v>339</v>
      </c>
      <c r="H385">
        <v>2302</v>
      </c>
      <c r="Q385" s="2"/>
      <c r="V385" s="2"/>
      <c r="Z385" s="2"/>
      <c r="AA385" s="2"/>
      <c r="AB385" s="2"/>
    </row>
    <row r="386" spans="1:28" x14ac:dyDescent="0.25">
      <c r="A386">
        <v>4319703577</v>
      </c>
      <c r="B386" s="1">
        <v>42475</v>
      </c>
      <c r="C386">
        <v>5664</v>
      </c>
      <c r="D386">
        <v>3.7999999523162802</v>
      </c>
      <c r="E386">
        <v>0</v>
      </c>
      <c r="F386">
        <v>0</v>
      </c>
      <c r="G386">
        <v>228</v>
      </c>
      <c r="H386">
        <v>1985</v>
      </c>
      <c r="Q386" s="2"/>
      <c r="V386" s="2"/>
      <c r="Z386" s="2"/>
      <c r="AA386" s="2"/>
      <c r="AB386" s="2"/>
    </row>
    <row r="387" spans="1:28" x14ac:dyDescent="0.25">
      <c r="A387">
        <v>4319703577</v>
      </c>
      <c r="B387" s="1">
        <v>42476</v>
      </c>
      <c r="C387">
        <v>4744</v>
      </c>
      <c r="D387">
        <v>3.1800000667571999</v>
      </c>
      <c r="E387">
        <v>0</v>
      </c>
      <c r="F387">
        <v>0</v>
      </c>
      <c r="G387">
        <v>194</v>
      </c>
      <c r="H387">
        <v>1884</v>
      </c>
      <c r="Q387" s="2"/>
      <c r="V387" s="2"/>
      <c r="Z387" s="2"/>
      <c r="AA387" s="2"/>
      <c r="AB387" s="2"/>
    </row>
    <row r="388" spans="1:28" x14ac:dyDescent="0.25">
      <c r="A388">
        <v>4319703577</v>
      </c>
      <c r="B388" s="1">
        <v>42477</v>
      </c>
      <c r="C388">
        <v>29</v>
      </c>
      <c r="D388">
        <v>1.9999999552965199E-2</v>
      </c>
      <c r="E388">
        <v>0</v>
      </c>
      <c r="F388">
        <v>0</v>
      </c>
      <c r="G388">
        <v>3</v>
      </c>
      <c r="H388">
        <v>1464</v>
      </c>
      <c r="Q388" s="2"/>
      <c r="V388" s="2"/>
      <c r="Z388" s="2"/>
      <c r="AA388" s="2"/>
      <c r="AB388" s="2"/>
    </row>
    <row r="389" spans="1:28" x14ac:dyDescent="0.25">
      <c r="A389">
        <v>4319703577</v>
      </c>
      <c r="B389" s="1">
        <v>42478</v>
      </c>
      <c r="C389">
        <v>2276</v>
      </c>
      <c r="D389">
        <v>1.54999995231628</v>
      </c>
      <c r="E389">
        <v>1</v>
      </c>
      <c r="F389">
        <v>9</v>
      </c>
      <c r="G389">
        <v>58</v>
      </c>
      <c r="H389">
        <v>1632</v>
      </c>
      <c r="Q389" s="2"/>
      <c r="V389" s="2"/>
      <c r="Z389" s="2"/>
      <c r="AA389" s="2"/>
      <c r="AB389" s="2"/>
    </row>
    <row r="390" spans="1:28" x14ac:dyDescent="0.25">
      <c r="A390">
        <v>4319703577</v>
      </c>
      <c r="B390" s="1">
        <v>42479</v>
      </c>
      <c r="C390">
        <v>8925</v>
      </c>
      <c r="D390">
        <v>5.9899997711181596</v>
      </c>
      <c r="E390">
        <v>0</v>
      </c>
      <c r="F390">
        <v>0</v>
      </c>
      <c r="G390">
        <v>311</v>
      </c>
      <c r="H390">
        <v>2200</v>
      </c>
      <c r="Q390" s="2"/>
      <c r="V390" s="2"/>
      <c r="Z390" s="2"/>
      <c r="AA390" s="2"/>
      <c r="AB390" s="2"/>
    </row>
    <row r="391" spans="1:28" x14ac:dyDescent="0.25">
      <c r="A391">
        <v>4319703577</v>
      </c>
      <c r="B391" s="1">
        <v>42480</v>
      </c>
      <c r="C391">
        <v>8954</v>
      </c>
      <c r="D391">
        <v>6.0100002288818404</v>
      </c>
      <c r="E391">
        <v>0</v>
      </c>
      <c r="F391">
        <v>18</v>
      </c>
      <c r="G391">
        <v>306</v>
      </c>
      <c r="H391">
        <v>2220</v>
      </c>
      <c r="Q391" s="2"/>
      <c r="V391" s="2"/>
      <c r="Z391" s="2"/>
      <c r="AA391" s="2"/>
      <c r="AB391" s="2"/>
    </row>
    <row r="392" spans="1:28" x14ac:dyDescent="0.25">
      <c r="A392">
        <v>4319703577</v>
      </c>
      <c r="B392" s="1">
        <v>42481</v>
      </c>
      <c r="C392">
        <v>3702</v>
      </c>
      <c r="D392">
        <v>2.4800000190734899</v>
      </c>
      <c r="E392">
        <v>0</v>
      </c>
      <c r="F392">
        <v>0</v>
      </c>
      <c r="G392">
        <v>34</v>
      </c>
      <c r="H392">
        <v>1792</v>
      </c>
      <c r="Q392" s="2"/>
      <c r="V392" s="2"/>
      <c r="Z392" s="2"/>
      <c r="AA392" s="2"/>
      <c r="AB392" s="2"/>
    </row>
    <row r="393" spans="1:28" x14ac:dyDescent="0.25">
      <c r="A393">
        <v>4319703577</v>
      </c>
      <c r="B393" s="1">
        <v>42482</v>
      </c>
      <c r="C393">
        <v>4500</v>
      </c>
      <c r="D393">
        <v>3.0199999809265101</v>
      </c>
      <c r="E393">
        <v>1</v>
      </c>
      <c r="F393">
        <v>19</v>
      </c>
      <c r="G393">
        <v>176</v>
      </c>
      <c r="H393">
        <v>1886</v>
      </c>
      <c r="Q393" s="2"/>
      <c r="V393" s="2"/>
      <c r="Z393" s="2"/>
      <c r="AA393" s="2"/>
      <c r="AB393" s="2"/>
    </row>
    <row r="394" spans="1:28" x14ac:dyDescent="0.25">
      <c r="A394">
        <v>4319703577</v>
      </c>
      <c r="B394" s="1">
        <v>42483</v>
      </c>
      <c r="C394">
        <v>4935</v>
      </c>
      <c r="D394">
        <v>3.3099999427795401</v>
      </c>
      <c r="E394">
        <v>0</v>
      </c>
      <c r="F394">
        <v>0</v>
      </c>
      <c r="G394">
        <v>233</v>
      </c>
      <c r="H394">
        <v>1945</v>
      </c>
      <c r="Q394" s="2"/>
      <c r="V394" s="2"/>
      <c r="Z394" s="2"/>
      <c r="AA394" s="2"/>
      <c r="AB394" s="2"/>
    </row>
    <row r="395" spans="1:28" x14ac:dyDescent="0.25">
      <c r="A395">
        <v>4319703577</v>
      </c>
      <c r="B395" s="1">
        <v>42484</v>
      </c>
      <c r="C395">
        <v>4081</v>
      </c>
      <c r="D395">
        <v>2.7400000095367401</v>
      </c>
      <c r="E395">
        <v>1</v>
      </c>
      <c r="F395">
        <v>5</v>
      </c>
      <c r="G395">
        <v>191</v>
      </c>
      <c r="H395">
        <v>1880</v>
      </c>
      <c r="Q395" s="2"/>
      <c r="V395" s="2"/>
      <c r="Z395" s="2"/>
      <c r="AA395" s="2"/>
      <c r="AB395" s="2"/>
    </row>
    <row r="396" spans="1:28" x14ac:dyDescent="0.25">
      <c r="A396">
        <v>4319703577</v>
      </c>
      <c r="B396" s="1">
        <v>42485</v>
      </c>
      <c r="C396">
        <v>9259</v>
      </c>
      <c r="D396">
        <v>6.21000003814697</v>
      </c>
      <c r="E396">
        <v>0</v>
      </c>
      <c r="F396">
        <v>8</v>
      </c>
      <c r="G396">
        <v>390</v>
      </c>
      <c r="H396">
        <v>2314</v>
      </c>
      <c r="Q396" s="2"/>
      <c r="V396" s="2"/>
      <c r="Z396" s="2"/>
      <c r="AA396" s="2"/>
      <c r="AB396" s="2"/>
    </row>
    <row r="397" spans="1:28" x14ac:dyDescent="0.25">
      <c r="A397">
        <v>4319703577</v>
      </c>
      <c r="B397" s="1">
        <v>42486</v>
      </c>
      <c r="C397">
        <v>9899</v>
      </c>
      <c r="D397">
        <v>6.6399998664856001</v>
      </c>
      <c r="E397">
        <v>8</v>
      </c>
      <c r="F397">
        <v>21</v>
      </c>
      <c r="G397">
        <v>288</v>
      </c>
      <c r="H397">
        <v>2236</v>
      </c>
      <c r="Q397" s="2"/>
      <c r="V397" s="2"/>
      <c r="Z397" s="2"/>
      <c r="AA397" s="2"/>
      <c r="AB397" s="2"/>
    </row>
    <row r="398" spans="1:28" x14ac:dyDescent="0.25">
      <c r="A398">
        <v>4319703577</v>
      </c>
      <c r="B398" s="1">
        <v>42487</v>
      </c>
      <c r="C398">
        <v>10780</v>
      </c>
      <c r="D398">
        <v>7.2300000190734899</v>
      </c>
      <c r="E398">
        <v>6</v>
      </c>
      <c r="F398">
        <v>47</v>
      </c>
      <c r="G398">
        <v>300</v>
      </c>
      <c r="H398">
        <v>2324</v>
      </c>
      <c r="Q398" s="2"/>
      <c r="V398" s="2"/>
      <c r="Z398" s="2"/>
      <c r="AA398" s="2"/>
      <c r="AB398" s="2"/>
    </row>
    <row r="399" spans="1:28" x14ac:dyDescent="0.25">
      <c r="A399">
        <v>4319703577</v>
      </c>
      <c r="B399" s="1">
        <v>42488</v>
      </c>
      <c r="C399">
        <v>10817</v>
      </c>
      <c r="D399">
        <v>7.2800002098083496</v>
      </c>
      <c r="E399">
        <v>13</v>
      </c>
      <c r="F399">
        <v>8</v>
      </c>
      <c r="G399">
        <v>359</v>
      </c>
      <c r="H399">
        <v>2367</v>
      </c>
      <c r="Q399" s="2"/>
      <c r="V399" s="2"/>
      <c r="Z399" s="2"/>
      <c r="AA399" s="2"/>
      <c r="AB399" s="2"/>
    </row>
    <row r="400" spans="1:28" x14ac:dyDescent="0.25">
      <c r="A400">
        <v>4319703577</v>
      </c>
      <c r="B400" s="1">
        <v>42489</v>
      </c>
      <c r="C400">
        <v>7990</v>
      </c>
      <c r="D400">
        <v>5.3600001335143999</v>
      </c>
      <c r="E400">
        <v>6</v>
      </c>
      <c r="F400">
        <v>18</v>
      </c>
      <c r="G400">
        <v>289</v>
      </c>
      <c r="H400">
        <v>2175</v>
      </c>
      <c r="Q400" s="2"/>
      <c r="V400" s="2"/>
      <c r="Z400" s="2"/>
      <c r="AA400" s="2"/>
      <c r="AB400" s="2"/>
    </row>
    <row r="401" spans="1:28" x14ac:dyDescent="0.25">
      <c r="A401">
        <v>4319703577</v>
      </c>
      <c r="B401" s="1">
        <v>42490</v>
      </c>
      <c r="C401">
        <v>8221</v>
      </c>
      <c r="D401">
        <v>5.5199999809265101</v>
      </c>
      <c r="E401">
        <v>6</v>
      </c>
      <c r="F401">
        <v>38</v>
      </c>
      <c r="G401">
        <v>196</v>
      </c>
      <c r="H401">
        <v>2092</v>
      </c>
      <c r="Q401" s="2"/>
      <c r="V401" s="2"/>
      <c r="Z401" s="2"/>
      <c r="AA401" s="2"/>
      <c r="AB401" s="2"/>
    </row>
    <row r="402" spans="1:28" x14ac:dyDescent="0.25">
      <c r="A402">
        <v>4319703577</v>
      </c>
      <c r="B402" s="1">
        <v>42491</v>
      </c>
      <c r="C402">
        <v>1251</v>
      </c>
      <c r="D402">
        <v>0.83999997377395597</v>
      </c>
      <c r="E402">
        <v>0</v>
      </c>
      <c r="F402">
        <v>0</v>
      </c>
      <c r="G402">
        <v>67</v>
      </c>
      <c r="H402">
        <v>1593</v>
      </c>
      <c r="Q402" s="2"/>
      <c r="V402" s="2"/>
      <c r="Z402" s="2"/>
      <c r="AA402" s="2"/>
      <c r="AB402" s="2"/>
    </row>
    <row r="403" spans="1:28" x14ac:dyDescent="0.25">
      <c r="A403">
        <v>4319703577</v>
      </c>
      <c r="B403" s="1">
        <v>42492</v>
      </c>
      <c r="C403">
        <v>9261</v>
      </c>
      <c r="D403">
        <v>6.2399997711181596</v>
      </c>
      <c r="E403">
        <v>0</v>
      </c>
      <c r="F403">
        <v>11</v>
      </c>
      <c r="G403">
        <v>344</v>
      </c>
      <c r="H403">
        <v>2270</v>
      </c>
      <c r="Q403" s="2"/>
      <c r="V403" s="2"/>
      <c r="Z403" s="2"/>
      <c r="AA403" s="2"/>
      <c r="AB403" s="2"/>
    </row>
    <row r="404" spans="1:28" x14ac:dyDescent="0.25">
      <c r="A404">
        <v>4319703577</v>
      </c>
      <c r="B404" s="1">
        <v>42493</v>
      </c>
      <c r="C404">
        <v>9648</v>
      </c>
      <c r="D404">
        <v>6.4699997901916504</v>
      </c>
      <c r="E404">
        <v>8</v>
      </c>
      <c r="F404">
        <v>26</v>
      </c>
      <c r="G404">
        <v>287</v>
      </c>
      <c r="H404">
        <v>2235</v>
      </c>
      <c r="Q404" s="2"/>
      <c r="V404" s="2"/>
      <c r="Z404" s="2"/>
      <c r="AA404" s="2"/>
      <c r="AB404" s="2"/>
    </row>
    <row r="405" spans="1:28" x14ac:dyDescent="0.25">
      <c r="A405">
        <v>4319703577</v>
      </c>
      <c r="B405" s="1">
        <v>42494</v>
      </c>
      <c r="C405">
        <v>10429</v>
      </c>
      <c r="D405">
        <v>7.0199999809265101</v>
      </c>
      <c r="E405">
        <v>8</v>
      </c>
      <c r="F405">
        <v>13</v>
      </c>
      <c r="G405">
        <v>313</v>
      </c>
      <c r="H405">
        <v>2282</v>
      </c>
      <c r="Q405" s="2"/>
      <c r="V405" s="2"/>
      <c r="Z405" s="2"/>
      <c r="AA405" s="2"/>
      <c r="AB405" s="2"/>
    </row>
    <row r="406" spans="1:28" x14ac:dyDescent="0.25">
      <c r="A406">
        <v>4319703577</v>
      </c>
      <c r="B406" s="1">
        <v>42495</v>
      </c>
      <c r="C406">
        <v>13658</v>
      </c>
      <c r="D406">
        <v>9.4899997711181605</v>
      </c>
      <c r="E406">
        <v>27</v>
      </c>
      <c r="F406">
        <v>34</v>
      </c>
      <c r="G406">
        <v>328</v>
      </c>
      <c r="H406">
        <v>2530</v>
      </c>
      <c r="Q406" s="2"/>
      <c r="V406" s="2"/>
      <c r="Z406" s="2"/>
      <c r="AA406" s="2"/>
      <c r="AB406" s="2"/>
    </row>
    <row r="407" spans="1:28" x14ac:dyDescent="0.25">
      <c r="A407">
        <v>4319703577</v>
      </c>
      <c r="B407" s="1">
        <v>42496</v>
      </c>
      <c r="C407">
        <v>9524</v>
      </c>
      <c r="D407">
        <v>6.4200000762939498</v>
      </c>
      <c r="E407">
        <v>6</v>
      </c>
      <c r="F407">
        <v>11</v>
      </c>
      <c r="G407">
        <v>314</v>
      </c>
      <c r="H407">
        <v>2266</v>
      </c>
      <c r="Q407" s="2"/>
      <c r="V407" s="2"/>
      <c r="Z407" s="2"/>
      <c r="AA407" s="2"/>
      <c r="AB407" s="2"/>
    </row>
    <row r="408" spans="1:28" x14ac:dyDescent="0.25">
      <c r="A408">
        <v>4319703577</v>
      </c>
      <c r="B408" s="1">
        <v>42497</v>
      </c>
      <c r="C408">
        <v>7937</v>
      </c>
      <c r="D408">
        <v>5.3299999237060502</v>
      </c>
      <c r="E408">
        <v>3</v>
      </c>
      <c r="F408">
        <v>28</v>
      </c>
      <c r="G408">
        <v>279</v>
      </c>
      <c r="H408">
        <v>2158</v>
      </c>
      <c r="Q408" s="2"/>
      <c r="V408" s="2"/>
      <c r="Z408" s="2"/>
      <c r="AA408" s="2"/>
      <c r="AB408" s="2"/>
    </row>
    <row r="409" spans="1:28" x14ac:dyDescent="0.25">
      <c r="A409">
        <v>4319703577</v>
      </c>
      <c r="B409" s="1">
        <v>42498</v>
      </c>
      <c r="C409">
        <v>3672</v>
      </c>
      <c r="D409">
        <v>2.46000003814697</v>
      </c>
      <c r="E409">
        <v>0</v>
      </c>
      <c r="F409">
        <v>0</v>
      </c>
      <c r="G409">
        <v>153</v>
      </c>
      <c r="H409">
        <v>1792</v>
      </c>
      <c r="Q409" s="2"/>
      <c r="V409" s="2"/>
      <c r="Z409" s="2"/>
      <c r="AA409" s="2"/>
      <c r="AB409" s="2"/>
    </row>
    <row r="410" spans="1:28" x14ac:dyDescent="0.25">
      <c r="A410">
        <v>4319703577</v>
      </c>
      <c r="B410" s="1">
        <v>42499</v>
      </c>
      <c r="C410">
        <v>10378</v>
      </c>
      <c r="D410">
        <v>6.96000003814697</v>
      </c>
      <c r="E410">
        <v>2</v>
      </c>
      <c r="F410">
        <v>14</v>
      </c>
      <c r="G410">
        <v>374</v>
      </c>
      <c r="H410">
        <v>2345</v>
      </c>
      <c r="Q410" s="2"/>
      <c r="V410" s="2"/>
      <c r="Z410" s="2"/>
      <c r="AA410" s="2"/>
      <c r="AB410" s="2"/>
    </row>
    <row r="411" spans="1:28" x14ac:dyDescent="0.25">
      <c r="A411">
        <v>4319703577</v>
      </c>
      <c r="B411" s="1">
        <v>42500</v>
      </c>
      <c r="C411">
        <v>9487</v>
      </c>
      <c r="D411">
        <v>6.3699998855590803</v>
      </c>
      <c r="E411">
        <v>3</v>
      </c>
      <c r="F411">
        <v>12</v>
      </c>
      <c r="G411">
        <v>329</v>
      </c>
      <c r="H411">
        <v>2260</v>
      </c>
      <c r="Q411" s="2"/>
      <c r="V411" s="2"/>
      <c r="Z411" s="2"/>
      <c r="AA411" s="2"/>
      <c r="AB411" s="2"/>
    </row>
    <row r="412" spans="1:28" x14ac:dyDescent="0.25">
      <c r="A412">
        <v>4319703577</v>
      </c>
      <c r="B412" s="1">
        <v>42501</v>
      </c>
      <c r="C412">
        <v>9129</v>
      </c>
      <c r="D412">
        <v>6.1300001144409197</v>
      </c>
      <c r="E412">
        <v>3</v>
      </c>
      <c r="F412">
        <v>18</v>
      </c>
      <c r="G412">
        <v>311</v>
      </c>
      <c r="H412">
        <v>2232</v>
      </c>
      <c r="Q412" s="2"/>
      <c r="V412" s="2"/>
      <c r="Z412" s="2"/>
      <c r="AA412" s="2"/>
      <c r="AB412" s="2"/>
    </row>
    <row r="413" spans="1:28" x14ac:dyDescent="0.25">
      <c r="A413">
        <v>4319703577</v>
      </c>
      <c r="B413" s="1">
        <v>42502</v>
      </c>
      <c r="C413">
        <v>17</v>
      </c>
      <c r="D413">
        <v>9.9999997764825804E-3</v>
      </c>
      <c r="E413">
        <v>0</v>
      </c>
      <c r="F413">
        <v>0</v>
      </c>
      <c r="G413">
        <v>2</v>
      </c>
      <c r="H413">
        <v>257</v>
      </c>
      <c r="Q413" s="2"/>
      <c r="V413" s="2"/>
      <c r="Z413" s="2"/>
      <c r="AA413" s="2"/>
      <c r="AB413" s="2"/>
    </row>
    <row r="414" spans="1:28" x14ac:dyDescent="0.25">
      <c r="A414">
        <v>4388161847</v>
      </c>
      <c r="B414" s="1">
        <v>42472</v>
      </c>
      <c r="C414">
        <v>10122</v>
      </c>
      <c r="D414">
        <v>7.7800002098083496</v>
      </c>
      <c r="E414">
        <v>0</v>
      </c>
      <c r="F414">
        <v>0</v>
      </c>
      <c r="G414">
        <v>0</v>
      </c>
      <c r="H414">
        <v>2955</v>
      </c>
      <c r="Q414" s="2"/>
      <c r="V414" s="2"/>
      <c r="Z414" s="2"/>
      <c r="AA414" s="2"/>
      <c r="AB414" s="2"/>
    </row>
    <row r="415" spans="1:28" x14ac:dyDescent="0.25">
      <c r="A415">
        <v>4388161847</v>
      </c>
      <c r="B415" s="1">
        <v>42473</v>
      </c>
      <c r="C415">
        <v>10993</v>
      </c>
      <c r="D415">
        <v>8.4499998092651403</v>
      </c>
      <c r="E415">
        <v>1</v>
      </c>
      <c r="F415">
        <v>14</v>
      </c>
      <c r="G415">
        <v>150</v>
      </c>
      <c r="H415">
        <v>3092</v>
      </c>
      <c r="Q415" s="2"/>
      <c r="V415" s="2"/>
      <c r="Z415" s="2"/>
      <c r="AA415" s="2"/>
      <c r="AB415" s="2"/>
    </row>
    <row r="416" spans="1:28" x14ac:dyDescent="0.25">
      <c r="A416">
        <v>4388161847</v>
      </c>
      <c r="B416" s="1">
        <v>42474</v>
      </c>
      <c r="C416">
        <v>8863</v>
      </c>
      <c r="D416">
        <v>6.8200001716613796</v>
      </c>
      <c r="E416">
        <v>10</v>
      </c>
      <c r="F416">
        <v>35</v>
      </c>
      <c r="G416">
        <v>219</v>
      </c>
      <c r="H416">
        <v>2998</v>
      </c>
      <c r="Q416" s="2"/>
      <c r="V416" s="2"/>
      <c r="Z416" s="2"/>
      <c r="AA416" s="2"/>
      <c r="AB416" s="2"/>
    </row>
    <row r="417" spans="1:28" x14ac:dyDescent="0.25">
      <c r="A417">
        <v>4388161847</v>
      </c>
      <c r="B417" s="1">
        <v>42475</v>
      </c>
      <c r="C417">
        <v>8758</v>
      </c>
      <c r="D417">
        <v>6.7300000190734899</v>
      </c>
      <c r="E417">
        <v>0</v>
      </c>
      <c r="F417">
        <v>0</v>
      </c>
      <c r="G417">
        <v>299</v>
      </c>
      <c r="H417">
        <v>3066</v>
      </c>
      <c r="Q417" s="2"/>
      <c r="V417" s="2"/>
      <c r="Z417" s="2"/>
      <c r="AA417" s="2"/>
      <c r="AB417" s="2"/>
    </row>
    <row r="418" spans="1:28" x14ac:dyDescent="0.25">
      <c r="A418">
        <v>4388161847</v>
      </c>
      <c r="B418" s="1">
        <v>42476</v>
      </c>
      <c r="C418">
        <v>6580</v>
      </c>
      <c r="D418">
        <v>5.0599999427795401</v>
      </c>
      <c r="E418">
        <v>6</v>
      </c>
      <c r="F418">
        <v>9</v>
      </c>
      <c r="G418">
        <v>253</v>
      </c>
      <c r="H418">
        <v>3073</v>
      </c>
      <c r="Q418" s="2"/>
      <c r="V418" s="2"/>
      <c r="Z418" s="2"/>
      <c r="AA418" s="2"/>
      <c r="AB418" s="2"/>
    </row>
    <row r="419" spans="1:28" x14ac:dyDescent="0.25">
      <c r="A419">
        <v>4388161847</v>
      </c>
      <c r="B419" s="1">
        <v>42477</v>
      </c>
      <c r="C419">
        <v>4660</v>
      </c>
      <c r="D419">
        <v>3.5799999237060498</v>
      </c>
      <c r="E419">
        <v>0</v>
      </c>
      <c r="F419">
        <v>0</v>
      </c>
      <c r="G419">
        <v>201</v>
      </c>
      <c r="H419">
        <v>2572</v>
      </c>
      <c r="Q419" s="2"/>
      <c r="V419" s="2"/>
      <c r="Z419" s="2"/>
      <c r="AA419" s="2"/>
      <c r="AB419" s="2"/>
    </row>
    <row r="420" spans="1:28" x14ac:dyDescent="0.25">
      <c r="A420">
        <v>4388161847</v>
      </c>
      <c r="B420" s="1">
        <v>42478</v>
      </c>
      <c r="C420">
        <v>11009</v>
      </c>
      <c r="D420">
        <v>9.1000003814697301</v>
      </c>
      <c r="E420">
        <v>27</v>
      </c>
      <c r="F420">
        <v>8</v>
      </c>
      <c r="G420">
        <v>239</v>
      </c>
      <c r="H420">
        <v>3274</v>
      </c>
      <c r="Q420" s="2"/>
      <c r="V420" s="2"/>
      <c r="Z420" s="2"/>
      <c r="AA420" s="2"/>
      <c r="AB420" s="2"/>
    </row>
    <row r="421" spans="1:28" x14ac:dyDescent="0.25">
      <c r="A421">
        <v>4388161847</v>
      </c>
      <c r="B421" s="1">
        <v>42479</v>
      </c>
      <c r="C421">
        <v>10181</v>
      </c>
      <c r="D421">
        <v>7.8299999237060502</v>
      </c>
      <c r="E421">
        <v>20</v>
      </c>
      <c r="F421">
        <v>16</v>
      </c>
      <c r="G421">
        <v>249</v>
      </c>
      <c r="H421">
        <v>3015</v>
      </c>
      <c r="Q421" s="2"/>
      <c r="V421" s="2"/>
      <c r="Z421" s="2"/>
      <c r="AA421" s="2"/>
      <c r="AB421" s="2"/>
    </row>
    <row r="422" spans="1:28" x14ac:dyDescent="0.25">
      <c r="A422">
        <v>4388161847</v>
      </c>
      <c r="B422" s="1">
        <v>42480</v>
      </c>
      <c r="C422">
        <v>10553</v>
      </c>
      <c r="D422">
        <v>8.1199998855590803</v>
      </c>
      <c r="E422">
        <v>19</v>
      </c>
      <c r="F422">
        <v>42</v>
      </c>
      <c r="G422">
        <v>228</v>
      </c>
      <c r="H422">
        <v>3083</v>
      </c>
      <c r="Q422" s="2"/>
      <c r="V422" s="2"/>
      <c r="Z422" s="2"/>
      <c r="AA422" s="2"/>
      <c r="AB422" s="2"/>
    </row>
    <row r="423" spans="1:28" x14ac:dyDescent="0.25">
      <c r="A423">
        <v>4388161847</v>
      </c>
      <c r="B423" s="1">
        <v>42481</v>
      </c>
      <c r="C423">
        <v>10055</v>
      </c>
      <c r="D423">
        <v>7.7300000190734899</v>
      </c>
      <c r="E423">
        <v>7</v>
      </c>
      <c r="F423">
        <v>12</v>
      </c>
      <c r="G423">
        <v>272</v>
      </c>
      <c r="H423">
        <v>3069</v>
      </c>
      <c r="Q423" s="2"/>
      <c r="V423" s="2"/>
      <c r="Z423" s="2"/>
      <c r="AA423" s="2"/>
      <c r="AB423" s="2"/>
    </row>
    <row r="424" spans="1:28" x14ac:dyDescent="0.25">
      <c r="A424">
        <v>4388161847</v>
      </c>
      <c r="B424" s="1">
        <v>42482</v>
      </c>
      <c r="C424">
        <v>12139</v>
      </c>
      <c r="D424">
        <v>9.3400001525878906</v>
      </c>
      <c r="E424">
        <v>77</v>
      </c>
      <c r="F424">
        <v>25</v>
      </c>
      <c r="G424">
        <v>220</v>
      </c>
      <c r="H424">
        <v>3544</v>
      </c>
      <c r="Q424" s="2"/>
      <c r="V424" s="2"/>
      <c r="Z424" s="2"/>
      <c r="AA424" s="2"/>
      <c r="AB424" s="2"/>
    </row>
    <row r="425" spans="1:28" x14ac:dyDescent="0.25">
      <c r="A425">
        <v>4388161847</v>
      </c>
      <c r="B425" s="1">
        <v>42483</v>
      </c>
      <c r="C425">
        <v>13236</v>
      </c>
      <c r="D425">
        <v>10.180000305175801</v>
      </c>
      <c r="E425">
        <v>58</v>
      </c>
      <c r="F425">
        <v>5</v>
      </c>
      <c r="G425">
        <v>215</v>
      </c>
      <c r="H425">
        <v>3306</v>
      </c>
      <c r="Q425" s="2"/>
      <c r="V425" s="2"/>
      <c r="Z425" s="2"/>
      <c r="AA425" s="2"/>
      <c r="AB425" s="2"/>
    </row>
    <row r="426" spans="1:28" x14ac:dyDescent="0.25">
      <c r="A426">
        <v>4388161847</v>
      </c>
      <c r="B426" s="1">
        <v>42484</v>
      </c>
      <c r="C426">
        <v>10243</v>
      </c>
      <c r="D426">
        <v>7.8800001144409197</v>
      </c>
      <c r="E426">
        <v>14</v>
      </c>
      <c r="F426">
        <v>8</v>
      </c>
      <c r="G426">
        <v>239</v>
      </c>
      <c r="H426">
        <v>2885</v>
      </c>
      <c r="Q426" s="2"/>
      <c r="V426" s="2"/>
      <c r="Z426" s="2"/>
      <c r="AA426" s="2"/>
      <c r="AB426" s="2"/>
    </row>
    <row r="427" spans="1:28" x14ac:dyDescent="0.25">
      <c r="A427">
        <v>4388161847</v>
      </c>
      <c r="B427" s="1">
        <v>42485</v>
      </c>
      <c r="C427">
        <v>12961</v>
      </c>
      <c r="D427">
        <v>9.9700002670288104</v>
      </c>
      <c r="E427">
        <v>11</v>
      </c>
      <c r="F427">
        <v>31</v>
      </c>
      <c r="G427">
        <v>301</v>
      </c>
      <c r="H427">
        <v>3288</v>
      </c>
      <c r="Q427" s="2"/>
      <c r="V427" s="2"/>
      <c r="Z427" s="2"/>
      <c r="AA427" s="2"/>
      <c r="AB427" s="2"/>
    </row>
    <row r="428" spans="1:28" x14ac:dyDescent="0.25">
      <c r="A428">
        <v>4388161847</v>
      </c>
      <c r="B428" s="1">
        <v>42486</v>
      </c>
      <c r="C428">
        <v>9461</v>
      </c>
      <c r="D428">
        <v>7.2800002098083496</v>
      </c>
      <c r="E428">
        <v>14</v>
      </c>
      <c r="F428">
        <v>23</v>
      </c>
      <c r="G428">
        <v>224</v>
      </c>
      <c r="H428">
        <v>2929</v>
      </c>
      <c r="Q428" s="2"/>
      <c r="V428" s="2"/>
      <c r="Z428" s="2"/>
      <c r="AA428" s="2"/>
      <c r="AB428" s="2"/>
    </row>
    <row r="429" spans="1:28" x14ac:dyDescent="0.25">
      <c r="A429">
        <v>4388161847</v>
      </c>
      <c r="B429" s="1">
        <v>42487</v>
      </c>
      <c r="C429">
        <v>11193</v>
      </c>
      <c r="D429">
        <v>8.6099996566772496</v>
      </c>
      <c r="E429">
        <v>11</v>
      </c>
      <c r="F429">
        <v>48</v>
      </c>
      <c r="G429">
        <v>241</v>
      </c>
      <c r="H429">
        <v>3074</v>
      </c>
      <c r="Q429" s="2"/>
      <c r="V429" s="2"/>
      <c r="Z429" s="2"/>
      <c r="AA429" s="2"/>
      <c r="AB429" s="2"/>
    </row>
    <row r="430" spans="1:28" x14ac:dyDescent="0.25">
      <c r="A430">
        <v>4388161847</v>
      </c>
      <c r="B430" s="1">
        <v>42488</v>
      </c>
      <c r="C430">
        <v>10074</v>
      </c>
      <c r="D430">
        <v>7.75</v>
      </c>
      <c r="E430">
        <v>19</v>
      </c>
      <c r="F430">
        <v>9</v>
      </c>
      <c r="G430">
        <v>234</v>
      </c>
      <c r="H430">
        <v>2969</v>
      </c>
      <c r="Q430" s="2"/>
      <c r="V430" s="2"/>
      <c r="Z430" s="2"/>
      <c r="AA430" s="2"/>
      <c r="AB430" s="2"/>
    </row>
    <row r="431" spans="1:28" x14ac:dyDescent="0.25">
      <c r="A431">
        <v>4388161847</v>
      </c>
      <c r="B431" s="1">
        <v>42489</v>
      </c>
      <c r="C431">
        <v>9232</v>
      </c>
      <c r="D431">
        <v>7.0999999046325701</v>
      </c>
      <c r="E431">
        <v>13</v>
      </c>
      <c r="F431">
        <v>16</v>
      </c>
      <c r="G431">
        <v>236</v>
      </c>
      <c r="H431">
        <v>2979</v>
      </c>
      <c r="Q431" s="2"/>
      <c r="V431" s="2"/>
      <c r="Z431" s="2"/>
      <c r="AA431" s="2"/>
      <c r="AB431" s="2"/>
    </row>
    <row r="432" spans="1:28" x14ac:dyDescent="0.25">
      <c r="A432">
        <v>4388161847</v>
      </c>
      <c r="B432" s="1">
        <v>42490</v>
      </c>
      <c r="C432">
        <v>12533</v>
      </c>
      <c r="D432">
        <v>9.6400003433227504</v>
      </c>
      <c r="E432">
        <v>14</v>
      </c>
      <c r="F432">
        <v>43</v>
      </c>
      <c r="G432">
        <v>300</v>
      </c>
      <c r="H432">
        <v>3283</v>
      </c>
      <c r="Q432" s="2"/>
      <c r="V432" s="2"/>
      <c r="Z432" s="2"/>
      <c r="AA432" s="2"/>
      <c r="AB432" s="2"/>
    </row>
    <row r="433" spans="1:28" x14ac:dyDescent="0.25">
      <c r="A433">
        <v>4388161847</v>
      </c>
      <c r="B433" s="1">
        <v>42491</v>
      </c>
      <c r="C433">
        <v>10255</v>
      </c>
      <c r="D433">
        <v>7.8899998664856001</v>
      </c>
      <c r="E433">
        <v>12</v>
      </c>
      <c r="F433">
        <v>15</v>
      </c>
      <c r="G433">
        <v>241</v>
      </c>
      <c r="H433">
        <v>2926</v>
      </c>
      <c r="Q433" s="2"/>
      <c r="V433" s="2"/>
      <c r="Z433" s="2"/>
      <c r="AA433" s="2"/>
      <c r="AB433" s="2"/>
    </row>
    <row r="434" spans="1:28" x14ac:dyDescent="0.25">
      <c r="A434">
        <v>4388161847</v>
      </c>
      <c r="B434" s="1">
        <v>42492</v>
      </c>
      <c r="C434">
        <v>10096</v>
      </c>
      <c r="D434">
        <v>8.3999996185302699</v>
      </c>
      <c r="E434">
        <v>33</v>
      </c>
      <c r="F434">
        <v>4</v>
      </c>
      <c r="G434">
        <v>204</v>
      </c>
      <c r="H434">
        <v>3147</v>
      </c>
      <c r="Q434" s="2"/>
      <c r="V434" s="2"/>
      <c r="Z434" s="2"/>
      <c r="AA434" s="2"/>
      <c r="AB434" s="2"/>
    </row>
    <row r="435" spans="1:28" x14ac:dyDescent="0.25">
      <c r="A435">
        <v>4388161847</v>
      </c>
      <c r="B435" s="1">
        <v>42493</v>
      </c>
      <c r="C435">
        <v>12727</v>
      </c>
      <c r="D435">
        <v>9.7899999618530291</v>
      </c>
      <c r="E435">
        <v>18</v>
      </c>
      <c r="F435">
        <v>18</v>
      </c>
      <c r="G435">
        <v>306</v>
      </c>
      <c r="H435">
        <v>3290</v>
      </c>
      <c r="Q435" s="2"/>
      <c r="V435" s="2"/>
      <c r="Z435" s="2"/>
      <c r="AA435" s="2"/>
      <c r="AB435" s="2"/>
    </row>
    <row r="436" spans="1:28" x14ac:dyDescent="0.25">
      <c r="A436">
        <v>4388161847</v>
      </c>
      <c r="B436" s="1">
        <v>42494</v>
      </c>
      <c r="C436">
        <v>12375</v>
      </c>
      <c r="D436">
        <v>9.5200004577636701</v>
      </c>
      <c r="E436">
        <v>35</v>
      </c>
      <c r="F436">
        <v>21</v>
      </c>
      <c r="G436">
        <v>251</v>
      </c>
      <c r="H436">
        <v>3162</v>
      </c>
      <c r="Q436" s="2"/>
      <c r="V436" s="2"/>
      <c r="Z436" s="2"/>
      <c r="AA436" s="2"/>
      <c r="AB436" s="2"/>
    </row>
    <row r="437" spans="1:28" x14ac:dyDescent="0.25">
      <c r="A437">
        <v>4388161847</v>
      </c>
      <c r="B437" s="1">
        <v>42495</v>
      </c>
      <c r="C437">
        <v>9603</v>
      </c>
      <c r="D437">
        <v>7.3800001144409197</v>
      </c>
      <c r="E437">
        <v>12</v>
      </c>
      <c r="F437">
        <v>39</v>
      </c>
      <c r="G437">
        <v>199</v>
      </c>
      <c r="H437">
        <v>2899</v>
      </c>
      <c r="Q437" s="2"/>
      <c r="V437" s="2"/>
      <c r="Z437" s="2"/>
      <c r="AA437" s="2"/>
      <c r="AB437" s="2"/>
    </row>
    <row r="438" spans="1:28" x14ac:dyDescent="0.25">
      <c r="A438">
        <v>4388161847</v>
      </c>
      <c r="B438" s="1">
        <v>42496</v>
      </c>
      <c r="C438">
        <v>13175</v>
      </c>
      <c r="D438">
        <v>10.1300001144409</v>
      </c>
      <c r="E438">
        <v>33</v>
      </c>
      <c r="F438">
        <v>45</v>
      </c>
      <c r="G438">
        <v>262</v>
      </c>
      <c r="H438">
        <v>3425</v>
      </c>
      <c r="Q438" s="2"/>
      <c r="V438" s="2"/>
      <c r="Z438" s="2"/>
      <c r="AA438" s="2"/>
      <c r="AB438" s="2"/>
    </row>
    <row r="439" spans="1:28" x14ac:dyDescent="0.25">
      <c r="A439">
        <v>4388161847</v>
      </c>
      <c r="B439" s="1">
        <v>42497</v>
      </c>
      <c r="C439">
        <v>22770</v>
      </c>
      <c r="D439">
        <v>17.540000915527301</v>
      </c>
      <c r="E439">
        <v>120</v>
      </c>
      <c r="F439">
        <v>56</v>
      </c>
      <c r="G439">
        <v>260</v>
      </c>
      <c r="H439">
        <v>4022</v>
      </c>
      <c r="Q439" s="2"/>
      <c r="V439" s="2"/>
      <c r="Z439" s="2"/>
      <c r="AA439" s="2"/>
      <c r="AB439" s="2"/>
    </row>
    <row r="440" spans="1:28" x14ac:dyDescent="0.25">
      <c r="A440">
        <v>4388161847</v>
      </c>
      <c r="B440" s="1">
        <v>42498</v>
      </c>
      <c r="C440">
        <v>17298</v>
      </c>
      <c r="D440">
        <v>14.3800001144409</v>
      </c>
      <c r="E440">
        <v>107</v>
      </c>
      <c r="F440">
        <v>38</v>
      </c>
      <c r="G440">
        <v>178</v>
      </c>
      <c r="H440">
        <v>3934</v>
      </c>
      <c r="Q440" s="2"/>
      <c r="V440" s="2"/>
      <c r="Z440" s="2"/>
      <c r="AA440" s="2"/>
      <c r="AB440" s="2"/>
    </row>
    <row r="441" spans="1:28" x14ac:dyDescent="0.25">
      <c r="A441">
        <v>4388161847</v>
      </c>
      <c r="B441" s="1">
        <v>42499</v>
      </c>
      <c r="C441">
        <v>10218</v>
      </c>
      <c r="D441">
        <v>7.8600001335143999</v>
      </c>
      <c r="E441">
        <v>6</v>
      </c>
      <c r="F441">
        <v>19</v>
      </c>
      <c r="G441">
        <v>258</v>
      </c>
      <c r="H441">
        <v>3013</v>
      </c>
      <c r="Q441" s="2"/>
      <c r="V441" s="2"/>
      <c r="Z441" s="2"/>
      <c r="AA441" s="2"/>
      <c r="AB441" s="2"/>
    </row>
    <row r="442" spans="1:28" x14ac:dyDescent="0.25">
      <c r="A442">
        <v>4388161847</v>
      </c>
      <c r="B442" s="1">
        <v>42500</v>
      </c>
      <c r="C442">
        <v>10299</v>
      </c>
      <c r="D442">
        <v>7.9200000762939498</v>
      </c>
      <c r="E442">
        <v>13</v>
      </c>
      <c r="F442">
        <v>14</v>
      </c>
      <c r="G442">
        <v>267</v>
      </c>
      <c r="H442">
        <v>3061</v>
      </c>
      <c r="Q442" s="2"/>
      <c r="V442" s="2"/>
      <c r="Z442" s="2"/>
      <c r="AA442" s="2"/>
      <c r="AB442" s="2"/>
    </row>
    <row r="443" spans="1:28" x14ac:dyDescent="0.25">
      <c r="A443">
        <v>4388161847</v>
      </c>
      <c r="B443" s="1">
        <v>42501</v>
      </c>
      <c r="C443">
        <v>10201</v>
      </c>
      <c r="D443">
        <v>7.8400001525878897</v>
      </c>
      <c r="E443">
        <v>8</v>
      </c>
      <c r="F443">
        <v>18</v>
      </c>
      <c r="G443">
        <v>256</v>
      </c>
      <c r="H443">
        <v>2954</v>
      </c>
      <c r="Q443" s="2"/>
      <c r="V443" s="2"/>
      <c r="Z443" s="2"/>
      <c r="AA443" s="2"/>
      <c r="AB443" s="2"/>
    </row>
    <row r="444" spans="1:28" x14ac:dyDescent="0.25">
      <c r="A444">
        <v>4388161847</v>
      </c>
      <c r="B444" s="1">
        <v>42502</v>
      </c>
      <c r="C444">
        <v>3369</v>
      </c>
      <c r="D444">
        <v>2.5899999141693102</v>
      </c>
      <c r="E444">
        <v>0</v>
      </c>
      <c r="F444">
        <v>0</v>
      </c>
      <c r="G444">
        <v>108</v>
      </c>
      <c r="H444">
        <v>1623</v>
      </c>
      <c r="Q444" s="2"/>
      <c r="V444" s="2"/>
      <c r="Z444" s="2"/>
      <c r="AA444" s="2"/>
      <c r="AB444" s="2"/>
    </row>
    <row r="445" spans="1:28" x14ac:dyDescent="0.25">
      <c r="A445">
        <v>4445114986</v>
      </c>
      <c r="B445" s="1">
        <v>42472</v>
      </c>
      <c r="C445">
        <v>3276</v>
      </c>
      <c r="D445">
        <v>2.2000000476837198</v>
      </c>
      <c r="E445">
        <v>0</v>
      </c>
      <c r="F445">
        <v>0</v>
      </c>
      <c r="G445">
        <v>196</v>
      </c>
      <c r="H445">
        <v>2113</v>
      </c>
      <c r="Q445" s="2"/>
      <c r="V445" s="2"/>
      <c r="Z445" s="2"/>
      <c r="AA445" s="2"/>
      <c r="AB445" s="2"/>
    </row>
    <row r="446" spans="1:28" x14ac:dyDescent="0.25">
      <c r="A446">
        <v>4445114986</v>
      </c>
      <c r="B446" s="1">
        <v>42473</v>
      </c>
      <c r="C446">
        <v>2961</v>
      </c>
      <c r="D446">
        <v>1.9900000095367401</v>
      </c>
      <c r="E446">
        <v>0</v>
      </c>
      <c r="F446">
        <v>0</v>
      </c>
      <c r="G446">
        <v>194</v>
      </c>
      <c r="H446">
        <v>2095</v>
      </c>
      <c r="Q446" s="2"/>
      <c r="V446" s="2"/>
      <c r="Z446" s="2"/>
      <c r="AA446" s="2"/>
      <c r="AB446" s="2"/>
    </row>
    <row r="447" spans="1:28" x14ac:dyDescent="0.25">
      <c r="A447">
        <v>4445114986</v>
      </c>
      <c r="B447" s="1">
        <v>42474</v>
      </c>
      <c r="C447">
        <v>3974</v>
      </c>
      <c r="D447">
        <v>2.6700000762939502</v>
      </c>
      <c r="E447">
        <v>0</v>
      </c>
      <c r="F447">
        <v>0</v>
      </c>
      <c r="G447">
        <v>231</v>
      </c>
      <c r="H447">
        <v>2194</v>
      </c>
      <c r="Q447" s="2"/>
      <c r="V447" s="2"/>
      <c r="Z447" s="2"/>
      <c r="AA447" s="2"/>
      <c r="AB447" s="2"/>
    </row>
    <row r="448" spans="1:28" x14ac:dyDescent="0.25">
      <c r="A448">
        <v>4445114986</v>
      </c>
      <c r="B448" s="1">
        <v>42475</v>
      </c>
      <c r="C448">
        <v>7198</v>
      </c>
      <c r="D448">
        <v>4.8299999237060502</v>
      </c>
      <c r="E448">
        <v>0</v>
      </c>
      <c r="F448">
        <v>0</v>
      </c>
      <c r="G448">
        <v>350</v>
      </c>
      <c r="H448">
        <v>2496</v>
      </c>
      <c r="Q448" s="2"/>
      <c r="V448" s="2"/>
      <c r="Z448" s="2"/>
      <c r="AA448" s="2"/>
      <c r="AB448" s="2"/>
    </row>
    <row r="449" spans="1:28" x14ac:dyDescent="0.25">
      <c r="A449">
        <v>4445114986</v>
      </c>
      <c r="B449" s="1">
        <v>42476</v>
      </c>
      <c r="C449">
        <v>3945</v>
      </c>
      <c r="D449">
        <v>2.6500000953674299</v>
      </c>
      <c r="E449">
        <v>0</v>
      </c>
      <c r="F449">
        <v>0</v>
      </c>
      <c r="G449">
        <v>225</v>
      </c>
      <c r="H449">
        <v>2180</v>
      </c>
      <c r="Q449" s="2"/>
      <c r="V449" s="2"/>
      <c r="Z449" s="2"/>
      <c r="AA449" s="2"/>
      <c r="AB449" s="2"/>
    </row>
    <row r="450" spans="1:28" x14ac:dyDescent="0.25">
      <c r="A450">
        <v>4445114986</v>
      </c>
      <c r="B450" s="1">
        <v>42477</v>
      </c>
      <c r="C450">
        <v>2268</v>
      </c>
      <c r="D450">
        <v>1.5199999809265099</v>
      </c>
      <c r="E450">
        <v>0</v>
      </c>
      <c r="F450">
        <v>0</v>
      </c>
      <c r="G450">
        <v>114</v>
      </c>
      <c r="H450">
        <v>1933</v>
      </c>
      <c r="Q450" s="2"/>
      <c r="V450" s="2"/>
      <c r="Z450" s="2"/>
      <c r="AA450" s="2"/>
      <c r="AB450" s="2"/>
    </row>
    <row r="451" spans="1:28" x14ac:dyDescent="0.25">
      <c r="A451">
        <v>4445114986</v>
      </c>
      <c r="B451" s="1">
        <v>42478</v>
      </c>
      <c r="C451">
        <v>6155</v>
      </c>
      <c r="D451">
        <v>4.2399997711181596</v>
      </c>
      <c r="E451">
        <v>25</v>
      </c>
      <c r="F451">
        <v>6</v>
      </c>
      <c r="G451">
        <v>162</v>
      </c>
      <c r="H451">
        <v>2248</v>
      </c>
      <c r="Q451" s="2"/>
      <c r="V451" s="2"/>
      <c r="Z451" s="2"/>
      <c r="AA451" s="2"/>
      <c r="AB451" s="2"/>
    </row>
    <row r="452" spans="1:28" x14ac:dyDescent="0.25">
      <c r="A452">
        <v>4445114986</v>
      </c>
      <c r="B452" s="1">
        <v>42479</v>
      </c>
      <c r="C452">
        <v>2064</v>
      </c>
      <c r="D452">
        <v>1.3899999856948899</v>
      </c>
      <c r="E452">
        <v>0</v>
      </c>
      <c r="F452">
        <v>0</v>
      </c>
      <c r="G452">
        <v>121</v>
      </c>
      <c r="H452">
        <v>1954</v>
      </c>
      <c r="Q452" s="2"/>
      <c r="V452" s="2"/>
      <c r="Z452" s="2"/>
      <c r="AA452" s="2"/>
      <c r="AB452" s="2"/>
    </row>
    <row r="453" spans="1:28" x14ac:dyDescent="0.25">
      <c r="A453">
        <v>4445114986</v>
      </c>
      <c r="B453" s="1">
        <v>42480</v>
      </c>
      <c r="C453">
        <v>2072</v>
      </c>
      <c r="D453">
        <v>1.3899999856948899</v>
      </c>
      <c r="E453">
        <v>0</v>
      </c>
      <c r="F453">
        <v>0</v>
      </c>
      <c r="G453">
        <v>137</v>
      </c>
      <c r="H453">
        <v>1974</v>
      </c>
      <c r="Q453" s="2"/>
      <c r="V453" s="2"/>
      <c r="Z453" s="2"/>
      <c r="AA453" s="2"/>
      <c r="AB453" s="2"/>
    </row>
    <row r="454" spans="1:28" x14ac:dyDescent="0.25">
      <c r="A454">
        <v>4445114986</v>
      </c>
      <c r="B454" s="1">
        <v>42481</v>
      </c>
      <c r="C454">
        <v>3809</v>
      </c>
      <c r="D454">
        <v>2.5599999427795401</v>
      </c>
      <c r="E454">
        <v>0</v>
      </c>
      <c r="F454">
        <v>0</v>
      </c>
      <c r="G454">
        <v>215</v>
      </c>
      <c r="H454">
        <v>2150</v>
      </c>
      <c r="Q454" s="2"/>
      <c r="V454" s="2"/>
      <c r="Z454" s="2"/>
      <c r="AA454" s="2"/>
      <c r="AB454" s="2"/>
    </row>
    <row r="455" spans="1:28" x14ac:dyDescent="0.25">
      <c r="A455">
        <v>4445114986</v>
      </c>
      <c r="B455" s="1">
        <v>42482</v>
      </c>
      <c r="C455">
        <v>6831</v>
      </c>
      <c r="D455">
        <v>4.5799999237060502</v>
      </c>
      <c r="E455">
        <v>0</v>
      </c>
      <c r="F455">
        <v>0</v>
      </c>
      <c r="G455">
        <v>317</v>
      </c>
      <c r="H455">
        <v>2432</v>
      </c>
      <c r="Q455" s="2"/>
      <c r="V455" s="2"/>
      <c r="Z455" s="2"/>
      <c r="AA455" s="2"/>
      <c r="AB455" s="2"/>
    </row>
    <row r="456" spans="1:28" x14ac:dyDescent="0.25">
      <c r="A456">
        <v>4445114986</v>
      </c>
      <c r="B456" s="1">
        <v>42483</v>
      </c>
      <c r="C456">
        <v>4363</v>
      </c>
      <c r="D456">
        <v>2.9300000667571999</v>
      </c>
      <c r="E456">
        <v>0</v>
      </c>
      <c r="F456">
        <v>0</v>
      </c>
      <c r="G456">
        <v>201</v>
      </c>
      <c r="H456">
        <v>2149</v>
      </c>
      <c r="Q456" s="2"/>
      <c r="V456" s="2"/>
      <c r="Z456" s="2"/>
      <c r="AA456" s="2"/>
      <c r="AB456" s="2"/>
    </row>
    <row r="457" spans="1:28" x14ac:dyDescent="0.25">
      <c r="A457">
        <v>4445114986</v>
      </c>
      <c r="B457" s="1">
        <v>42484</v>
      </c>
      <c r="C457">
        <v>5002</v>
      </c>
      <c r="D457">
        <v>3.3599998950958301</v>
      </c>
      <c r="E457">
        <v>0</v>
      </c>
      <c r="F457">
        <v>0</v>
      </c>
      <c r="G457">
        <v>244</v>
      </c>
      <c r="H457">
        <v>2247</v>
      </c>
      <c r="Q457" s="2"/>
      <c r="V457" s="2"/>
      <c r="Z457" s="2"/>
      <c r="AA457" s="2"/>
      <c r="AB457" s="2"/>
    </row>
    <row r="458" spans="1:28" x14ac:dyDescent="0.25">
      <c r="A458">
        <v>4445114986</v>
      </c>
      <c r="B458" s="1">
        <v>42485</v>
      </c>
      <c r="C458">
        <v>3385</v>
      </c>
      <c r="D458">
        <v>2.2699999809265101</v>
      </c>
      <c r="E458">
        <v>0</v>
      </c>
      <c r="F458">
        <v>0</v>
      </c>
      <c r="G458">
        <v>179</v>
      </c>
      <c r="H458">
        <v>2070</v>
      </c>
      <c r="Q458" s="2"/>
      <c r="V458" s="2"/>
      <c r="Z458" s="2"/>
      <c r="AA458" s="2"/>
      <c r="AB458" s="2"/>
    </row>
    <row r="459" spans="1:28" x14ac:dyDescent="0.25">
      <c r="A459">
        <v>4445114986</v>
      </c>
      <c r="B459" s="1">
        <v>42486</v>
      </c>
      <c r="C459">
        <v>6326</v>
      </c>
      <c r="D459">
        <v>4.4099998474121103</v>
      </c>
      <c r="E459">
        <v>29</v>
      </c>
      <c r="F459">
        <v>1</v>
      </c>
      <c r="G459">
        <v>180</v>
      </c>
      <c r="H459">
        <v>2291</v>
      </c>
      <c r="Q459" s="2"/>
      <c r="V459" s="2"/>
      <c r="Z459" s="2"/>
      <c r="AA459" s="2"/>
      <c r="AB459" s="2"/>
    </row>
    <row r="460" spans="1:28" x14ac:dyDescent="0.25">
      <c r="A460">
        <v>4445114986</v>
      </c>
      <c r="B460" s="1">
        <v>42487</v>
      </c>
      <c r="C460">
        <v>7243</v>
      </c>
      <c r="D460">
        <v>5.0300002098083496</v>
      </c>
      <c r="E460">
        <v>32</v>
      </c>
      <c r="F460">
        <v>1</v>
      </c>
      <c r="G460">
        <v>194</v>
      </c>
      <c r="H460">
        <v>2361</v>
      </c>
      <c r="Q460" s="2"/>
      <c r="V460" s="2"/>
      <c r="Z460" s="2"/>
      <c r="AA460" s="2"/>
      <c r="AB460" s="2"/>
    </row>
    <row r="461" spans="1:28" x14ac:dyDescent="0.25">
      <c r="A461">
        <v>4445114986</v>
      </c>
      <c r="B461" s="1">
        <v>42488</v>
      </c>
      <c r="C461">
        <v>4493</v>
      </c>
      <c r="D461">
        <v>3.0099999904632599</v>
      </c>
      <c r="E461">
        <v>0</v>
      </c>
      <c r="F461">
        <v>0</v>
      </c>
      <c r="G461">
        <v>236</v>
      </c>
      <c r="H461">
        <v>2203</v>
      </c>
      <c r="Q461" s="2"/>
      <c r="V461" s="2"/>
      <c r="Z461" s="2"/>
      <c r="AA461" s="2"/>
      <c r="AB461" s="2"/>
    </row>
    <row r="462" spans="1:28" x14ac:dyDescent="0.25">
      <c r="A462">
        <v>4445114986</v>
      </c>
      <c r="B462" s="1">
        <v>42489</v>
      </c>
      <c r="C462">
        <v>4676</v>
      </c>
      <c r="D462">
        <v>3.1400001049041699</v>
      </c>
      <c r="E462">
        <v>0</v>
      </c>
      <c r="F462">
        <v>0</v>
      </c>
      <c r="G462">
        <v>226</v>
      </c>
      <c r="H462">
        <v>2196</v>
      </c>
      <c r="Q462" s="2"/>
      <c r="V462" s="2"/>
      <c r="Z462" s="2"/>
      <c r="AA462" s="2"/>
      <c r="AB462" s="2"/>
    </row>
    <row r="463" spans="1:28" x14ac:dyDescent="0.25">
      <c r="A463">
        <v>4445114986</v>
      </c>
      <c r="B463" s="1">
        <v>42490</v>
      </c>
      <c r="C463">
        <v>6222</v>
      </c>
      <c r="D463">
        <v>4.1799998283386204</v>
      </c>
      <c r="E463">
        <v>0</v>
      </c>
      <c r="F463">
        <v>0</v>
      </c>
      <c r="G463">
        <v>290</v>
      </c>
      <c r="H463">
        <v>2363</v>
      </c>
      <c r="Q463" s="2"/>
      <c r="V463" s="2"/>
      <c r="Z463" s="2"/>
      <c r="AA463" s="2"/>
      <c r="AB463" s="2"/>
    </row>
    <row r="464" spans="1:28" x14ac:dyDescent="0.25">
      <c r="A464">
        <v>4445114986</v>
      </c>
      <c r="B464" s="1">
        <v>42491</v>
      </c>
      <c r="C464">
        <v>5232</v>
      </c>
      <c r="D464">
        <v>3.5099999904632599</v>
      </c>
      <c r="E464">
        <v>0</v>
      </c>
      <c r="F464">
        <v>0</v>
      </c>
      <c r="G464">
        <v>240</v>
      </c>
      <c r="H464">
        <v>2246</v>
      </c>
      <c r="Q464" s="2"/>
      <c r="V464" s="2"/>
      <c r="Z464" s="2"/>
      <c r="AA464" s="2"/>
      <c r="AB464" s="2"/>
    </row>
    <row r="465" spans="1:28" x14ac:dyDescent="0.25">
      <c r="A465">
        <v>4445114986</v>
      </c>
      <c r="B465" s="1">
        <v>42492</v>
      </c>
      <c r="C465">
        <v>6910</v>
      </c>
      <c r="D465">
        <v>4.75</v>
      </c>
      <c r="E465">
        <v>27</v>
      </c>
      <c r="F465">
        <v>4</v>
      </c>
      <c r="G465">
        <v>200</v>
      </c>
      <c r="H465">
        <v>2336</v>
      </c>
      <c r="Q465" s="2"/>
      <c r="V465" s="2"/>
      <c r="Z465" s="2"/>
      <c r="AA465" s="2"/>
      <c r="AB465" s="2"/>
    </row>
    <row r="466" spans="1:28" x14ac:dyDescent="0.25">
      <c r="A466">
        <v>4445114986</v>
      </c>
      <c r="B466" s="1">
        <v>42493</v>
      </c>
      <c r="C466">
        <v>7502</v>
      </c>
      <c r="D466">
        <v>5.1799998283386204</v>
      </c>
      <c r="E466">
        <v>30</v>
      </c>
      <c r="F466">
        <v>2</v>
      </c>
      <c r="G466">
        <v>233</v>
      </c>
      <c r="H466">
        <v>2421</v>
      </c>
      <c r="Q466" s="2"/>
      <c r="V466" s="2"/>
      <c r="Z466" s="2"/>
      <c r="AA466" s="2"/>
      <c r="AB466" s="2"/>
    </row>
    <row r="467" spans="1:28" x14ac:dyDescent="0.25">
      <c r="A467">
        <v>4445114986</v>
      </c>
      <c r="B467" s="1">
        <v>42494</v>
      </c>
      <c r="C467">
        <v>2923</v>
      </c>
      <c r="D467">
        <v>1.96000003814697</v>
      </c>
      <c r="E467">
        <v>0</v>
      </c>
      <c r="F467">
        <v>0</v>
      </c>
      <c r="G467">
        <v>180</v>
      </c>
      <c r="H467">
        <v>2070</v>
      </c>
      <c r="Q467" s="2"/>
      <c r="V467" s="2"/>
      <c r="Z467" s="2"/>
      <c r="AA467" s="2"/>
      <c r="AB467" s="2"/>
    </row>
    <row r="468" spans="1:28" x14ac:dyDescent="0.25">
      <c r="A468">
        <v>4445114986</v>
      </c>
      <c r="B468" s="1">
        <v>42495</v>
      </c>
      <c r="C468">
        <v>3800</v>
      </c>
      <c r="D468">
        <v>2.5499999523162802</v>
      </c>
      <c r="E468">
        <v>2</v>
      </c>
      <c r="F468">
        <v>6</v>
      </c>
      <c r="G468">
        <v>185</v>
      </c>
      <c r="H468">
        <v>2120</v>
      </c>
      <c r="Q468" s="2"/>
      <c r="V468" s="2"/>
      <c r="Z468" s="2"/>
      <c r="AA468" s="2"/>
      <c r="AB468" s="2"/>
    </row>
    <row r="469" spans="1:28" x14ac:dyDescent="0.25">
      <c r="A469">
        <v>4445114986</v>
      </c>
      <c r="B469" s="1">
        <v>42496</v>
      </c>
      <c r="C469">
        <v>4514</v>
      </c>
      <c r="D469">
        <v>3.0299999713897701</v>
      </c>
      <c r="E469">
        <v>0</v>
      </c>
      <c r="F469">
        <v>0</v>
      </c>
      <c r="G469">
        <v>229</v>
      </c>
      <c r="H469">
        <v>2211</v>
      </c>
      <c r="Q469" s="2"/>
      <c r="V469" s="2"/>
      <c r="Z469" s="2"/>
      <c r="AA469" s="2"/>
      <c r="AB469" s="2"/>
    </row>
    <row r="470" spans="1:28" x14ac:dyDescent="0.25">
      <c r="A470">
        <v>4445114986</v>
      </c>
      <c r="B470" s="1">
        <v>42497</v>
      </c>
      <c r="C470">
        <v>5183</v>
      </c>
      <c r="D470">
        <v>3.5899999141693102</v>
      </c>
      <c r="E470">
        <v>26</v>
      </c>
      <c r="F470">
        <v>4</v>
      </c>
      <c r="G470">
        <v>108</v>
      </c>
      <c r="H470">
        <v>2123</v>
      </c>
      <c r="Q470" s="2"/>
      <c r="V470" s="2"/>
      <c r="Z470" s="2"/>
      <c r="AA470" s="2"/>
      <c r="AB470" s="2"/>
    </row>
    <row r="471" spans="1:28" x14ac:dyDescent="0.25">
      <c r="A471">
        <v>4445114986</v>
      </c>
      <c r="B471" s="1">
        <v>42498</v>
      </c>
      <c r="C471">
        <v>7303</v>
      </c>
      <c r="D471">
        <v>4.9000000953674299</v>
      </c>
      <c r="E471">
        <v>0</v>
      </c>
      <c r="F471">
        <v>8</v>
      </c>
      <c r="G471">
        <v>308</v>
      </c>
      <c r="H471">
        <v>2423</v>
      </c>
      <c r="Q471" s="2"/>
      <c r="V471" s="2"/>
      <c r="Z471" s="2"/>
      <c r="AA471" s="2"/>
      <c r="AB471" s="2"/>
    </row>
    <row r="472" spans="1:28" x14ac:dyDescent="0.25">
      <c r="A472">
        <v>4445114986</v>
      </c>
      <c r="B472" s="1">
        <v>42499</v>
      </c>
      <c r="C472">
        <v>5275</v>
      </c>
      <c r="D472">
        <v>3.53999996185303</v>
      </c>
      <c r="E472">
        <v>0</v>
      </c>
      <c r="F472">
        <v>0</v>
      </c>
      <c r="G472">
        <v>266</v>
      </c>
      <c r="H472">
        <v>2281</v>
      </c>
      <c r="Q472" s="2"/>
      <c r="V472" s="2"/>
      <c r="Z472" s="2"/>
      <c r="AA472" s="2"/>
      <c r="AB472" s="2"/>
    </row>
    <row r="473" spans="1:28" x14ac:dyDescent="0.25">
      <c r="A473">
        <v>4445114986</v>
      </c>
      <c r="B473" s="1">
        <v>42500</v>
      </c>
      <c r="C473">
        <v>3915</v>
      </c>
      <c r="D473">
        <v>2.6300001144409202</v>
      </c>
      <c r="E473">
        <v>0</v>
      </c>
      <c r="F473">
        <v>0</v>
      </c>
      <c r="G473">
        <v>231</v>
      </c>
      <c r="H473">
        <v>2181</v>
      </c>
      <c r="Q473" s="2"/>
      <c r="V473" s="2"/>
      <c r="Z473" s="2"/>
      <c r="AA473" s="2"/>
      <c r="AB473" s="2"/>
    </row>
    <row r="474" spans="1:28" x14ac:dyDescent="0.25">
      <c r="A474">
        <v>4445114986</v>
      </c>
      <c r="B474" s="1">
        <v>42501</v>
      </c>
      <c r="C474">
        <v>9105</v>
      </c>
      <c r="D474">
        <v>6.1100001335143999</v>
      </c>
      <c r="E474">
        <v>34</v>
      </c>
      <c r="F474">
        <v>22</v>
      </c>
      <c r="G474">
        <v>232</v>
      </c>
      <c r="H474">
        <v>2499</v>
      </c>
      <c r="Q474" s="2"/>
      <c r="V474" s="2"/>
      <c r="Z474" s="2"/>
      <c r="AA474" s="2"/>
      <c r="AB474" s="2"/>
    </row>
    <row r="475" spans="1:28" x14ac:dyDescent="0.25">
      <c r="A475">
        <v>4445114986</v>
      </c>
      <c r="B475" s="1">
        <v>42502</v>
      </c>
      <c r="C475">
        <v>768</v>
      </c>
      <c r="D475">
        <v>0.519999980926514</v>
      </c>
      <c r="E475">
        <v>0</v>
      </c>
      <c r="F475">
        <v>0</v>
      </c>
      <c r="G475">
        <v>58</v>
      </c>
      <c r="H475">
        <v>1212</v>
      </c>
      <c r="Q475" s="2"/>
      <c r="V475" s="2"/>
      <c r="Z475" s="2"/>
      <c r="AA475" s="2"/>
      <c r="AB475" s="2"/>
    </row>
    <row r="476" spans="1:28" x14ac:dyDescent="0.25">
      <c r="A476">
        <v>4558609924</v>
      </c>
      <c r="B476" s="1">
        <v>42472</v>
      </c>
      <c r="C476">
        <v>5135</v>
      </c>
      <c r="D476">
        <v>3.3900001049041699</v>
      </c>
      <c r="E476">
        <v>0</v>
      </c>
      <c r="F476">
        <v>0</v>
      </c>
      <c r="G476">
        <v>318</v>
      </c>
      <c r="H476">
        <v>1909</v>
      </c>
      <c r="Q476" s="2"/>
      <c r="V476" s="2"/>
      <c r="Z476" s="2"/>
      <c r="AA476" s="2"/>
      <c r="AB476" s="2"/>
    </row>
    <row r="477" spans="1:28" x14ac:dyDescent="0.25">
      <c r="A477">
        <v>4558609924</v>
      </c>
      <c r="B477" s="1">
        <v>42473</v>
      </c>
      <c r="C477">
        <v>4978</v>
      </c>
      <c r="D477">
        <v>3.28999996185303</v>
      </c>
      <c r="E477">
        <v>19</v>
      </c>
      <c r="F477">
        <v>7</v>
      </c>
      <c r="G477">
        <v>127</v>
      </c>
      <c r="H477">
        <v>1722</v>
      </c>
      <c r="Q477" s="2"/>
      <c r="V477" s="2"/>
      <c r="Z477" s="2"/>
      <c r="AA477" s="2"/>
      <c r="AB477" s="2"/>
    </row>
    <row r="478" spans="1:28" x14ac:dyDescent="0.25">
      <c r="A478">
        <v>4558609924</v>
      </c>
      <c r="B478" s="1">
        <v>42474</v>
      </c>
      <c r="C478">
        <v>6799</v>
      </c>
      <c r="D478">
        <v>4.4899997711181596</v>
      </c>
      <c r="E478">
        <v>0</v>
      </c>
      <c r="F478">
        <v>0</v>
      </c>
      <c r="G478">
        <v>279</v>
      </c>
      <c r="H478">
        <v>1922</v>
      </c>
      <c r="Q478" s="2"/>
      <c r="V478" s="2"/>
      <c r="Z478" s="2"/>
      <c r="AA478" s="2"/>
      <c r="AB478" s="2"/>
    </row>
    <row r="479" spans="1:28" x14ac:dyDescent="0.25">
      <c r="A479">
        <v>4558609924</v>
      </c>
      <c r="B479" s="1">
        <v>42475</v>
      </c>
      <c r="C479">
        <v>7795</v>
      </c>
      <c r="D479">
        <v>5.1500000953674299</v>
      </c>
      <c r="E479">
        <v>17</v>
      </c>
      <c r="F479">
        <v>30</v>
      </c>
      <c r="G479">
        <v>262</v>
      </c>
      <c r="H479">
        <v>2121</v>
      </c>
      <c r="Q479" s="2"/>
      <c r="V479" s="2"/>
      <c r="Z479" s="2"/>
      <c r="AA479" s="2"/>
      <c r="AB479" s="2"/>
    </row>
    <row r="480" spans="1:28" x14ac:dyDescent="0.25">
      <c r="A480">
        <v>4558609924</v>
      </c>
      <c r="B480" s="1">
        <v>42476</v>
      </c>
      <c r="C480">
        <v>7289</v>
      </c>
      <c r="D480">
        <v>4.8200001716613796</v>
      </c>
      <c r="E480">
        <v>8</v>
      </c>
      <c r="F480">
        <v>12</v>
      </c>
      <c r="G480">
        <v>308</v>
      </c>
      <c r="H480">
        <v>1997</v>
      </c>
      <c r="Q480" s="2"/>
      <c r="V480" s="2"/>
      <c r="Z480" s="2"/>
      <c r="AA480" s="2"/>
      <c r="AB480" s="2"/>
    </row>
    <row r="481" spans="1:28" x14ac:dyDescent="0.25">
      <c r="A481">
        <v>4558609924</v>
      </c>
      <c r="B481" s="1">
        <v>42477</v>
      </c>
      <c r="C481">
        <v>9634</v>
      </c>
      <c r="D481">
        <v>6.4000000953674299</v>
      </c>
      <c r="E481">
        <v>7</v>
      </c>
      <c r="F481">
        <v>19</v>
      </c>
      <c r="G481">
        <v>304</v>
      </c>
      <c r="H481">
        <v>2117</v>
      </c>
      <c r="Q481" s="2"/>
      <c r="V481" s="2"/>
      <c r="Z481" s="2"/>
      <c r="AA481" s="2"/>
      <c r="AB481" s="2"/>
    </row>
    <row r="482" spans="1:28" x14ac:dyDescent="0.25">
      <c r="A482">
        <v>4558609924</v>
      </c>
      <c r="B482" s="1">
        <v>42478</v>
      </c>
      <c r="C482">
        <v>8940</v>
      </c>
      <c r="D482">
        <v>5.9099998474121103</v>
      </c>
      <c r="E482">
        <v>14</v>
      </c>
      <c r="F482">
        <v>15</v>
      </c>
      <c r="G482">
        <v>331</v>
      </c>
      <c r="H482">
        <v>2116</v>
      </c>
      <c r="Q482" s="2"/>
      <c r="V482" s="2"/>
      <c r="Z482" s="2"/>
      <c r="AA482" s="2"/>
      <c r="AB482" s="2"/>
    </row>
    <row r="483" spans="1:28" x14ac:dyDescent="0.25">
      <c r="A483">
        <v>4558609924</v>
      </c>
      <c r="B483" s="1">
        <v>42479</v>
      </c>
      <c r="C483">
        <v>5401</v>
      </c>
      <c r="D483">
        <v>3.5699999332428001</v>
      </c>
      <c r="E483">
        <v>1</v>
      </c>
      <c r="F483">
        <v>9</v>
      </c>
      <c r="G483">
        <v>248</v>
      </c>
      <c r="H483">
        <v>1876</v>
      </c>
      <c r="Q483" s="2"/>
      <c r="V483" s="2"/>
      <c r="Z483" s="2"/>
      <c r="AA483" s="2"/>
      <c r="AB483" s="2"/>
    </row>
    <row r="484" spans="1:28" x14ac:dyDescent="0.25">
      <c r="A484">
        <v>4558609924</v>
      </c>
      <c r="B484" s="1">
        <v>42480</v>
      </c>
      <c r="C484">
        <v>4803</v>
      </c>
      <c r="D484">
        <v>3.1700000762939502</v>
      </c>
      <c r="E484">
        <v>0</v>
      </c>
      <c r="F484">
        <v>0</v>
      </c>
      <c r="G484">
        <v>222</v>
      </c>
      <c r="H484">
        <v>1788</v>
      </c>
      <c r="Q484" s="2"/>
      <c r="V484" s="2"/>
      <c r="Z484" s="2"/>
      <c r="AA484" s="2"/>
      <c r="AB484" s="2"/>
    </row>
    <row r="485" spans="1:28" x14ac:dyDescent="0.25">
      <c r="A485">
        <v>4558609924</v>
      </c>
      <c r="B485" s="1">
        <v>42481</v>
      </c>
      <c r="C485">
        <v>13743</v>
      </c>
      <c r="D485">
        <v>9.0799999237060494</v>
      </c>
      <c r="E485">
        <v>6</v>
      </c>
      <c r="F485">
        <v>21</v>
      </c>
      <c r="G485">
        <v>432</v>
      </c>
      <c r="H485">
        <v>2486</v>
      </c>
      <c r="Q485" s="2"/>
      <c r="V485" s="2"/>
      <c r="Z485" s="2"/>
      <c r="AA485" s="2"/>
      <c r="AB485" s="2"/>
    </row>
    <row r="486" spans="1:28" x14ac:dyDescent="0.25">
      <c r="A486">
        <v>4558609924</v>
      </c>
      <c r="B486" s="1">
        <v>42482</v>
      </c>
      <c r="C486">
        <v>9601</v>
      </c>
      <c r="D486">
        <v>6.3499999046325701</v>
      </c>
      <c r="E486">
        <v>20</v>
      </c>
      <c r="F486">
        <v>25</v>
      </c>
      <c r="G486">
        <v>273</v>
      </c>
      <c r="H486">
        <v>2094</v>
      </c>
      <c r="Q486" s="2"/>
      <c r="V486" s="2"/>
      <c r="Z486" s="2"/>
      <c r="AA486" s="2"/>
      <c r="AB486" s="2"/>
    </row>
    <row r="487" spans="1:28" x14ac:dyDescent="0.25">
      <c r="A487">
        <v>4558609924</v>
      </c>
      <c r="B487" s="1">
        <v>42483</v>
      </c>
      <c r="C487">
        <v>6890</v>
      </c>
      <c r="D487">
        <v>4.5500001907348597</v>
      </c>
      <c r="E487">
        <v>5</v>
      </c>
      <c r="F487">
        <v>5</v>
      </c>
      <c r="G487">
        <v>308</v>
      </c>
      <c r="H487">
        <v>2085</v>
      </c>
      <c r="Q487" s="2"/>
      <c r="V487" s="2"/>
      <c r="Z487" s="2"/>
      <c r="AA487" s="2"/>
      <c r="AB487" s="2"/>
    </row>
    <row r="488" spans="1:28" x14ac:dyDescent="0.25">
      <c r="A488">
        <v>4558609924</v>
      </c>
      <c r="B488" s="1">
        <v>42484</v>
      </c>
      <c r="C488">
        <v>8563</v>
      </c>
      <c r="D488">
        <v>5.6599998474121103</v>
      </c>
      <c r="E488">
        <v>0</v>
      </c>
      <c r="F488">
        <v>0</v>
      </c>
      <c r="G488">
        <v>395</v>
      </c>
      <c r="H488">
        <v>2173</v>
      </c>
      <c r="Q488" s="2"/>
      <c r="V488" s="2"/>
      <c r="Z488" s="2"/>
      <c r="AA488" s="2"/>
      <c r="AB488" s="2"/>
    </row>
    <row r="489" spans="1:28" x14ac:dyDescent="0.25">
      <c r="A489">
        <v>4558609924</v>
      </c>
      <c r="B489" s="1">
        <v>42485</v>
      </c>
      <c r="C489">
        <v>8095</v>
      </c>
      <c r="D489">
        <v>5.3499999046325701</v>
      </c>
      <c r="E489">
        <v>18</v>
      </c>
      <c r="F489">
        <v>10</v>
      </c>
      <c r="G489">
        <v>340</v>
      </c>
      <c r="H489">
        <v>2225</v>
      </c>
      <c r="Q489" s="2"/>
      <c r="V489" s="2"/>
      <c r="Z489" s="2"/>
      <c r="AA489" s="2"/>
      <c r="AB489" s="2"/>
    </row>
    <row r="490" spans="1:28" x14ac:dyDescent="0.25">
      <c r="A490">
        <v>4558609924</v>
      </c>
      <c r="B490" s="1">
        <v>42486</v>
      </c>
      <c r="C490">
        <v>9148</v>
      </c>
      <c r="D490">
        <v>6.0500001907348597</v>
      </c>
      <c r="E490">
        <v>12</v>
      </c>
      <c r="F490">
        <v>41</v>
      </c>
      <c r="G490">
        <v>283</v>
      </c>
      <c r="H490">
        <v>2223</v>
      </c>
      <c r="Q490" s="2"/>
      <c r="V490" s="2"/>
      <c r="Z490" s="2"/>
      <c r="AA490" s="2"/>
      <c r="AB490" s="2"/>
    </row>
    <row r="491" spans="1:28" x14ac:dyDescent="0.25">
      <c r="A491">
        <v>4558609924</v>
      </c>
      <c r="B491" s="1">
        <v>42487</v>
      </c>
      <c r="C491">
        <v>9557</v>
      </c>
      <c r="D491">
        <v>6.3200001716613796</v>
      </c>
      <c r="E491">
        <v>27</v>
      </c>
      <c r="F491">
        <v>14</v>
      </c>
      <c r="G491">
        <v>312</v>
      </c>
      <c r="H491">
        <v>2098</v>
      </c>
      <c r="Q491" s="2"/>
      <c r="V491" s="2"/>
      <c r="Z491" s="2"/>
      <c r="AA491" s="2"/>
      <c r="AB491" s="2"/>
    </row>
    <row r="492" spans="1:28" x14ac:dyDescent="0.25">
      <c r="A492">
        <v>4558609924</v>
      </c>
      <c r="B492" s="1">
        <v>42488</v>
      </c>
      <c r="C492">
        <v>9451</v>
      </c>
      <c r="D492">
        <v>6.25</v>
      </c>
      <c r="E492">
        <v>1</v>
      </c>
      <c r="F492">
        <v>11</v>
      </c>
      <c r="G492">
        <v>367</v>
      </c>
      <c r="H492">
        <v>2185</v>
      </c>
      <c r="Q492" s="2"/>
      <c r="V492" s="2"/>
      <c r="Z492" s="2"/>
      <c r="AA492" s="2"/>
      <c r="AB492" s="2"/>
    </row>
    <row r="493" spans="1:28" x14ac:dyDescent="0.25">
      <c r="A493">
        <v>4558609924</v>
      </c>
      <c r="B493" s="1">
        <v>42489</v>
      </c>
      <c r="C493">
        <v>7833</v>
      </c>
      <c r="D493">
        <v>5.1799998283386204</v>
      </c>
      <c r="E493">
        <v>15</v>
      </c>
      <c r="F493">
        <v>29</v>
      </c>
      <c r="G493">
        <v>197</v>
      </c>
      <c r="H493">
        <v>1918</v>
      </c>
      <c r="Q493" s="2"/>
      <c r="V493" s="2"/>
      <c r="Z493" s="2"/>
      <c r="AA493" s="2"/>
      <c r="AB493" s="2"/>
    </row>
    <row r="494" spans="1:28" x14ac:dyDescent="0.25">
      <c r="A494">
        <v>4558609924</v>
      </c>
      <c r="B494" s="1">
        <v>42490</v>
      </c>
      <c r="C494">
        <v>10319</v>
      </c>
      <c r="D494">
        <v>6.8200001716613796</v>
      </c>
      <c r="E494">
        <v>7</v>
      </c>
      <c r="F494">
        <v>29</v>
      </c>
      <c r="G494">
        <v>293</v>
      </c>
      <c r="H494">
        <v>2105</v>
      </c>
      <c r="Q494" s="2"/>
      <c r="V494" s="2"/>
      <c r="Z494" s="2"/>
      <c r="AA494" s="2"/>
      <c r="AB494" s="2"/>
    </row>
    <row r="495" spans="1:28" x14ac:dyDescent="0.25">
      <c r="A495">
        <v>4558609924</v>
      </c>
      <c r="B495" s="1">
        <v>42491</v>
      </c>
      <c r="C495">
        <v>3428</v>
      </c>
      <c r="D495">
        <v>2.2699999809265101</v>
      </c>
      <c r="E495">
        <v>0</v>
      </c>
      <c r="F495">
        <v>0</v>
      </c>
      <c r="G495">
        <v>190</v>
      </c>
      <c r="H495">
        <v>1692</v>
      </c>
      <c r="Q495" s="2"/>
      <c r="V495" s="2"/>
      <c r="Z495" s="2"/>
      <c r="AA495" s="2"/>
      <c r="AB495" s="2"/>
    </row>
    <row r="496" spans="1:28" x14ac:dyDescent="0.25">
      <c r="A496">
        <v>4558609924</v>
      </c>
      <c r="B496" s="1">
        <v>42492</v>
      </c>
      <c r="C496">
        <v>7891</v>
      </c>
      <c r="D496">
        <v>5.2199997901916504</v>
      </c>
      <c r="E496">
        <v>0</v>
      </c>
      <c r="F496">
        <v>0</v>
      </c>
      <c r="G496">
        <v>383</v>
      </c>
      <c r="H496">
        <v>2066</v>
      </c>
      <c r="Q496" s="2"/>
      <c r="V496" s="2"/>
      <c r="Z496" s="2"/>
      <c r="AA496" s="2"/>
      <c r="AB496" s="2"/>
    </row>
    <row r="497" spans="1:28" x14ac:dyDescent="0.25">
      <c r="A497">
        <v>4558609924</v>
      </c>
      <c r="B497" s="1">
        <v>42493</v>
      </c>
      <c r="C497">
        <v>5267</v>
      </c>
      <c r="D497">
        <v>3.4800000190734899</v>
      </c>
      <c r="E497">
        <v>21</v>
      </c>
      <c r="F497">
        <v>10</v>
      </c>
      <c r="G497">
        <v>237</v>
      </c>
      <c r="H497">
        <v>1953</v>
      </c>
      <c r="Q497" s="2"/>
      <c r="V497" s="2"/>
      <c r="Z497" s="2"/>
      <c r="AA497" s="2"/>
      <c r="AB497" s="2"/>
    </row>
    <row r="498" spans="1:28" x14ac:dyDescent="0.25">
      <c r="A498">
        <v>4558609924</v>
      </c>
      <c r="B498" s="1">
        <v>42494</v>
      </c>
      <c r="C498">
        <v>5232</v>
      </c>
      <c r="D498">
        <v>3.46000003814697</v>
      </c>
      <c r="E498">
        <v>0</v>
      </c>
      <c r="F498">
        <v>0</v>
      </c>
      <c r="G498">
        <v>252</v>
      </c>
      <c r="H498">
        <v>1842</v>
      </c>
      <c r="Q498" s="2"/>
      <c r="V498" s="2"/>
      <c r="Z498" s="2"/>
      <c r="AA498" s="2"/>
      <c r="AB498" s="2"/>
    </row>
    <row r="499" spans="1:28" x14ac:dyDescent="0.25">
      <c r="A499">
        <v>4558609924</v>
      </c>
      <c r="B499" s="1">
        <v>42495</v>
      </c>
      <c r="C499">
        <v>10611</v>
      </c>
      <c r="D499">
        <v>7.0100002288818404</v>
      </c>
      <c r="E499">
        <v>14</v>
      </c>
      <c r="F499">
        <v>8</v>
      </c>
      <c r="G499">
        <v>370</v>
      </c>
      <c r="H499">
        <v>2262</v>
      </c>
      <c r="Q499" s="2"/>
      <c r="V499" s="2"/>
      <c r="Z499" s="2"/>
      <c r="AA499" s="2"/>
      <c r="AB499" s="2"/>
    </row>
    <row r="500" spans="1:28" x14ac:dyDescent="0.25">
      <c r="A500">
        <v>4558609924</v>
      </c>
      <c r="B500" s="1">
        <v>42496</v>
      </c>
      <c r="C500">
        <v>3755</v>
      </c>
      <c r="D500">
        <v>2.4800000190734899</v>
      </c>
      <c r="E500">
        <v>0</v>
      </c>
      <c r="F500">
        <v>0</v>
      </c>
      <c r="G500">
        <v>202</v>
      </c>
      <c r="H500">
        <v>1722</v>
      </c>
      <c r="Q500" s="2"/>
      <c r="V500" s="2"/>
      <c r="Z500" s="2"/>
      <c r="AA500" s="2"/>
      <c r="AB500" s="2"/>
    </row>
    <row r="501" spans="1:28" x14ac:dyDescent="0.25">
      <c r="A501">
        <v>4558609924</v>
      </c>
      <c r="B501" s="1">
        <v>42497</v>
      </c>
      <c r="C501">
        <v>8237</v>
      </c>
      <c r="D501">
        <v>5.4400000572204599</v>
      </c>
      <c r="E501">
        <v>23</v>
      </c>
      <c r="F501">
        <v>16</v>
      </c>
      <c r="G501">
        <v>233</v>
      </c>
      <c r="H501">
        <v>1973</v>
      </c>
      <c r="Q501" s="2"/>
      <c r="V501" s="2"/>
      <c r="Z501" s="2"/>
      <c r="AA501" s="2"/>
      <c r="AB501" s="2"/>
    </row>
    <row r="502" spans="1:28" x14ac:dyDescent="0.25">
      <c r="A502">
        <v>4558609924</v>
      </c>
      <c r="B502" s="1">
        <v>42498</v>
      </c>
      <c r="C502">
        <v>6543</v>
      </c>
      <c r="D502">
        <v>4.3299999237060502</v>
      </c>
      <c r="E502">
        <v>66</v>
      </c>
      <c r="F502">
        <v>35</v>
      </c>
      <c r="G502">
        <v>238</v>
      </c>
      <c r="H502">
        <v>2666</v>
      </c>
      <c r="Q502" s="2"/>
      <c r="V502" s="2"/>
      <c r="Z502" s="2"/>
      <c r="AA502" s="2"/>
      <c r="AB502" s="2"/>
    </row>
    <row r="503" spans="1:28" x14ac:dyDescent="0.25">
      <c r="A503">
        <v>4558609924</v>
      </c>
      <c r="B503" s="1">
        <v>42499</v>
      </c>
      <c r="C503">
        <v>11451</v>
      </c>
      <c r="D503">
        <v>7.5700001716613796</v>
      </c>
      <c r="E503">
        <v>6</v>
      </c>
      <c r="F503">
        <v>30</v>
      </c>
      <c r="G503">
        <v>339</v>
      </c>
      <c r="H503">
        <v>2223</v>
      </c>
      <c r="Q503" s="2"/>
      <c r="V503" s="2"/>
      <c r="Z503" s="2"/>
      <c r="AA503" s="2"/>
      <c r="AB503" s="2"/>
    </row>
    <row r="504" spans="1:28" x14ac:dyDescent="0.25">
      <c r="A504">
        <v>4558609924</v>
      </c>
      <c r="B504" s="1">
        <v>42500</v>
      </c>
      <c r="C504">
        <v>6435</v>
      </c>
      <c r="D504">
        <v>4.25</v>
      </c>
      <c r="E504">
        <v>11</v>
      </c>
      <c r="F504">
        <v>18</v>
      </c>
      <c r="G504">
        <v>220</v>
      </c>
      <c r="H504">
        <v>1889</v>
      </c>
      <c r="Q504" s="2"/>
      <c r="V504" s="2"/>
      <c r="Z504" s="2"/>
      <c r="AA504" s="2"/>
      <c r="AB504" s="2"/>
    </row>
    <row r="505" spans="1:28" x14ac:dyDescent="0.25">
      <c r="A505">
        <v>4558609924</v>
      </c>
      <c r="B505" s="1">
        <v>42501</v>
      </c>
      <c r="C505">
        <v>9108</v>
      </c>
      <c r="D505">
        <v>6.0199999809265101</v>
      </c>
      <c r="E505">
        <v>4</v>
      </c>
      <c r="F505">
        <v>31</v>
      </c>
      <c r="G505">
        <v>324</v>
      </c>
      <c r="H505">
        <v>2131</v>
      </c>
      <c r="Q505" s="2"/>
      <c r="V505" s="2"/>
      <c r="Z505" s="2"/>
      <c r="AA505" s="2"/>
      <c r="AB505" s="2"/>
    </row>
    <row r="506" spans="1:28" x14ac:dyDescent="0.25">
      <c r="A506">
        <v>4558609924</v>
      </c>
      <c r="B506" s="1">
        <v>42502</v>
      </c>
      <c r="C506">
        <v>6307</v>
      </c>
      <c r="D506">
        <v>4.1700000762939498</v>
      </c>
      <c r="E506">
        <v>0</v>
      </c>
      <c r="F506">
        <v>0</v>
      </c>
      <c r="G506">
        <v>247</v>
      </c>
      <c r="H506">
        <v>1452</v>
      </c>
      <c r="Q506" s="2"/>
      <c r="V506" s="2"/>
      <c r="Z506" s="2"/>
      <c r="AA506" s="2"/>
      <c r="AB506" s="2"/>
    </row>
    <row r="507" spans="1:28" x14ac:dyDescent="0.25">
      <c r="A507">
        <v>4702921684</v>
      </c>
      <c r="B507" s="1">
        <v>42472</v>
      </c>
      <c r="C507">
        <v>7213</v>
      </c>
      <c r="D507">
        <v>5.8800001144409197</v>
      </c>
      <c r="E507">
        <v>0</v>
      </c>
      <c r="F507">
        <v>0</v>
      </c>
      <c r="G507">
        <v>263</v>
      </c>
      <c r="H507">
        <v>2947</v>
      </c>
      <c r="Q507" s="2"/>
      <c r="V507" s="2"/>
      <c r="Z507" s="2"/>
      <c r="AA507" s="2"/>
      <c r="AB507" s="2"/>
    </row>
    <row r="508" spans="1:28" x14ac:dyDescent="0.25">
      <c r="A508">
        <v>4702921684</v>
      </c>
      <c r="B508" s="1">
        <v>42473</v>
      </c>
      <c r="C508">
        <v>6877</v>
      </c>
      <c r="D508">
        <v>5.5799999237060502</v>
      </c>
      <c r="E508">
        <v>0</v>
      </c>
      <c r="F508">
        <v>0</v>
      </c>
      <c r="G508">
        <v>258</v>
      </c>
      <c r="H508">
        <v>2898</v>
      </c>
      <c r="Q508" s="2"/>
      <c r="V508" s="2"/>
      <c r="Z508" s="2"/>
      <c r="AA508" s="2"/>
      <c r="AB508" s="2"/>
    </row>
    <row r="509" spans="1:28" x14ac:dyDescent="0.25">
      <c r="A509">
        <v>4702921684</v>
      </c>
      <c r="B509" s="1">
        <v>42474</v>
      </c>
      <c r="C509">
        <v>7860</v>
      </c>
      <c r="D509">
        <v>6.3699998855590803</v>
      </c>
      <c r="E509">
        <v>0</v>
      </c>
      <c r="F509">
        <v>0</v>
      </c>
      <c r="G509">
        <v>271</v>
      </c>
      <c r="H509">
        <v>2984</v>
      </c>
      <c r="Q509" s="2"/>
      <c r="V509" s="2"/>
      <c r="Z509" s="2"/>
      <c r="AA509" s="2"/>
      <c r="AB509" s="2"/>
    </row>
    <row r="510" spans="1:28" x14ac:dyDescent="0.25">
      <c r="A510">
        <v>4702921684</v>
      </c>
      <c r="B510" s="1">
        <v>42475</v>
      </c>
      <c r="C510">
        <v>6506</v>
      </c>
      <c r="D510">
        <v>5.2800002098083496</v>
      </c>
      <c r="E510">
        <v>1</v>
      </c>
      <c r="F510">
        <v>8</v>
      </c>
      <c r="G510">
        <v>256</v>
      </c>
      <c r="H510">
        <v>2896</v>
      </c>
      <c r="Q510" s="2"/>
      <c r="V510" s="2"/>
      <c r="Z510" s="2"/>
      <c r="AA510" s="2"/>
      <c r="AB510" s="2"/>
    </row>
    <row r="511" spans="1:28" x14ac:dyDescent="0.25">
      <c r="A511">
        <v>4702921684</v>
      </c>
      <c r="B511" s="1">
        <v>42476</v>
      </c>
      <c r="C511">
        <v>11140</v>
      </c>
      <c r="D511">
        <v>9.0299997329711896</v>
      </c>
      <c r="E511">
        <v>3</v>
      </c>
      <c r="F511">
        <v>24</v>
      </c>
      <c r="G511">
        <v>335</v>
      </c>
      <c r="H511">
        <v>3328</v>
      </c>
      <c r="Q511" s="2"/>
      <c r="V511" s="2"/>
      <c r="Z511" s="2"/>
      <c r="AA511" s="2"/>
      <c r="AB511" s="2"/>
    </row>
    <row r="512" spans="1:28" x14ac:dyDescent="0.25">
      <c r="A512">
        <v>4702921684</v>
      </c>
      <c r="B512" s="1">
        <v>42477</v>
      </c>
      <c r="C512">
        <v>12692</v>
      </c>
      <c r="D512">
        <v>10.289999961853001</v>
      </c>
      <c r="E512">
        <v>12</v>
      </c>
      <c r="F512">
        <v>66</v>
      </c>
      <c r="G512">
        <v>302</v>
      </c>
      <c r="H512">
        <v>3394</v>
      </c>
      <c r="Q512" s="2"/>
      <c r="V512" s="2"/>
      <c r="Z512" s="2"/>
      <c r="AA512" s="2"/>
      <c r="AB512" s="2"/>
    </row>
    <row r="513" spans="1:28" x14ac:dyDescent="0.25">
      <c r="A513">
        <v>4702921684</v>
      </c>
      <c r="B513" s="1">
        <v>42478</v>
      </c>
      <c r="C513">
        <v>9105</v>
      </c>
      <c r="D513">
        <v>7.3800001144409197</v>
      </c>
      <c r="E513">
        <v>22</v>
      </c>
      <c r="F513">
        <v>30</v>
      </c>
      <c r="G513">
        <v>191</v>
      </c>
      <c r="H513">
        <v>3013</v>
      </c>
      <c r="Q513" s="2"/>
      <c r="V513" s="2"/>
      <c r="Z513" s="2"/>
      <c r="AA513" s="2"/>
      <c r="AB513" s="2"/>
    </row>
    <row r="514" spans="1:28" x14ac:dyDescent="0.25">
      <c r="A514">
        <v>4702921684</v>
      </c>
      <c r="B514" s="1">
        <v>42479</v>
      </c>
      <c r="C514">
        <v>6708</v>
      </c>
      <c r="D514">
        <v>5.4400000572204599</v>
      </c>
      <c r="E514">
        <v>10</v>
      </c>
      <c r="F514">
        <v>8</v>
      </c>
      <c r="G514">
        <v>179</v>
      </c>
      <c r="H514">
        <v>2812</v>
      </c>
      <c r="Q514" s="2"/>
      <c r="V514" s="2"/>
      <c r="Z514" s="2"/>
      <c r="AA514" s="2"/>
      <c r="AB514" s="2"/>
    </row>
    <row r="515" spans="1:28" x14ac:dyDescent="0.25">
      <c r="A515">
        <v>4702921684</v>
      </c>
      <c r="B515" s="1">
        <v>42480</v>
      </c>
      <c r="C515">
        <v>8793</v>
      </c>
      <c r="D515">
        <v>7.1300001144409197</v>
      </c>
      <c r="E515">
        <v>2</v>
      </c>
      <c r="F515">
        <v>29</v>
      </c>
      <c r="G515">
        <v>260</v>
      </c>
      <c r="H515">
        <v>3061</v>
      </c>
      <c r="Q515" s="2"/>
      <c r="V515" s="2"/>
      <c r="Z515" s="2"/>
      <c r="AA515" s="2"/>
      <c r="AB515" s="2"/>
    </row>
    <row r="516" spans="1:28" x14ac:dyDescent="0.25">
      <c r="A516">
        <v>4702921684</v>
      </c>
      <c r="B516" s="1">
        <v>42481</v>
      </c>
      <c r="C516">
        <v>6530</v>
      </c>
      <c r="D516">
        <v>5.3000001907348597</v>
      </c>
      <c r="E516">
        <v>4</v>
      </c>
      <c r="F516">
        <v>41</v>
      </c>
      <c r="G516">
        <v>144</v>
      </c>
      <c r="H516">
        <v>2729</v>
      </c>
      <c r="Q516" s="2"/>
      <c r="V516" s="2"/>
      <c r="Z516" s="2"/>
      <c r="AA516" s="2"/>
      <c r="AB516" s="2"/>
    </row>
    <row r="517" spans="1:28" x14ac:dyDescent="0.25">
      <c r="A517">
        <v>4702921684</v>
      </c>
      <c r="B517" s="1">
        <v>42482</v>
      </c>
      <c r="C517">
        <v>1664</v>
      </c>
      <c r="D517">
        <v>1.3500000238418599</v>
      </c>
      <c r="E517">
        <v>0</v>
      </c>
      <c r="F517">
        <v>0</v>
      </c>
      <c r="G517">
        <v>72</v>
      </c>
      <c r="H517">
        <v>2241</v>
      </c>
      <c r="Q517" s="2"/>
      <c r="V517" s="2"/>
      <c r="Z517" s="2"/>
      <c r="AA517" s="2"/>
      <c r="AB517" s="2"/>
    </row>
    <row r="518" spans="1:28" x14ac:dyDescent="0.25">
      <c r="A518">
        <v>4702921684</v>
      </c>
      <c r="B518" s="1">
        <v>42483</v>
      </c>
      <c r="C518">
        <v>15126</v>
      </c>
      <c r="D518">
        <v>12.2700004577637</v>
      </c>
      <c r="E518">
        <v>9</v>
      </c>
      <c r="F518">
        <v>66</v>
      </c>
      <c r="G518">
        <v>408</v>
      </c>
      <c r="H518">
        <v>3691</v>
      </c>
      <c r="Q518" s="2"/>
      <c r="V518" s="2"/>
      <c r="Z518" s="2"/>
      <c r="AA518" s="2"/>
      <c r="AB518" s="2"/>
    </row>
    <row r="519" spans="1:28" x14ac:dyDescent="0.25">
      <c r="A519">
        <v>4702921684</v>
      </c>
      <c r="B519" s="1">
        <v>42484</v>
      </c>
      <c r="C519">
        <v>15050</v>
      </c>
      <c r="D519">
        <v>12.2200002670288</v>
      </c>
      <c r="E519">
        <v>15</v>
      </c>
      <c r="F519">
        <v>95</v>
      </c>
      <c r="G519">
        <v>281</v>
      </c>
      <c r="H519">
        <v>3538</v>
      </c>
      <c r="Q519" s="2"/>
      <c r="V519" s="2"/>
      <c r="Z519" s="2"/>
      <c r="AA519" s="2"/>
      <c r="AB519" s="2"/>
    </row>
    <row r="520" spans="1:28" x14ac:dyDescent="0.25">
      <c r="A520">
        <v>4702921684</v>
      </c>
      <c r="B520" s="1">
        <v>42485</v>
      </c>
      <c r="C520">
        <v>9167</v>
      </c>
      <c r="D520">
        <v>7.4299998283386204</v>
      </c>
      <c r="E520">
        <v>6</v>
      </c>
      <c r="F520">
        <v>15</v>
      </c>
      <c r="G520">
        <v>270</v>
      </c>
      <c r="H520">
        <v>3064</v>
      </c>
      <c r="Q520" s="2"/>
      <c r="V520" s="2"/>
      <c r="Z520" s="2"/>
      <c r="AA520" s="2"/>
      <c r="AB520" s="2"/>
    </row>
    <row r="521" spans="1:28" x14ac:dyDescent="0.25">
      <c r="A521">
        <v>4702921684</v>
      </c>
      <c r="B521" s="1">
        <v>42486</v>
      </c>
      <c r="C521">
        <v>6108</v>
      </c>
      <c r="D521">
        <v>4.9499998092651403</v>
      </c>
      <c r="E521">
        <v>1</v>
      </c>
      <c r="F521">
        <v>8</v>
      </c>
      <c r="G521">
        <v>216</v>
      </c>
      <c r="H521">
        <v>2784</v>
      </c>
      <c r="Q521" s="2"/>
      <c r="V521" s="2"/>
      <c r="Z521" s="2"/>
      <c r="AA521" s="2"/>
      <c r="AB521" s="2"/>
    </row>
    <row r="522" spans="1:28" x14ac:dyDescent="0.25">
      <c r="A522">
        <v>4702921684</v>
      </c>
      <c r="B522" s="1">
        <v>42487</v>
      </c>
      <c r="C522">
        <v>7047</v>
      </c>
      <c r="D522">
        <v>5.7199997901916504</v>
      </c>
      <c r="E522">
        <v>1</v>
      </c>
      <c r="F522">
        <v>16</v>
      </c>
      <c r="G522">
        <v>238</v>
      </c>
      <c r="H522">
        <v>2908</v>
      </c>
      <c r="Q522" s="2"/>
      <c r="V522" s="2"/>
      <c r="Z522" s="2"/>
      <c r="AA522" s="2"/>
      <c r="AB522" s="2"/>
    </row>
    <row r="523" spans="1:28" x14ac:dyDescent="0.25">
      <c r="A523">
        <v>4702921684</v>
      </c>
      <c r="B523" s="1">
        <v>42488</v>
      </c>
      <c r="C523">
        <v>9023</v>
      </c>
      <c r="D523">
        <v>7.3200001716613796</v>
      </c>
      <c r="E523">
        <v>14</v>
      </c>
      <c r="F523">
        <v>9</v>
      </c>
      <c r="G523">
        <v>232</v>
      </c>
      <c r="H523">
        <v>3033</v>
      </c>
      <c r="Q523" s="2"/>
      <c r="V523" s="2"/>
      <c r="Z523" s="2"/>
      <c r="AA523" s="2"/>
      <c r="AB523" s="2"/>
    </row>
    <row r="524" spans="1:28" x14ac:dyDescent="0.25">
      <c r="A524">
        <v>4702921684</v>
      </c>
      <c r="B524" s="1">
        <v>42489</v>
      </c>
      <c r="C524">
        <v>9930</v>
      </c>
      <c r="D524">
        <v>8.0500001907348597</v>
      </c>
      <c r="E524">
        <v>12</v>
      </c>
      <c r="F524">
        <v>19</v>
      </c>
      <c r="G524">
        <v>267</v>
      </c>
      <c r="H524">
        <v>3165</v>
      </c>
      <c r="Q524" s="2"/>
      <c r="V524" s="2"/>
      <c r="Z524" s="2"/>
      <c r="AA524" s="2"/>
      <c r="AB524" s="2"/>
    </row>
    <row r="525" spans="1:28" x14ac:dyDescent="0.25">
      <c r="A525">
        <v>4702921684</v>
      </c>
      <c r="B525" s="1">
        <v>42490</v>
      </c>
      <c r="C525">
        <v>10144</v>
      </c>
      <c r="D525">
        <v>8.2299995422363299</v>
      </c>
      <c r="E525">
        <v>4</v>
      </c>
      <c r="F525">
        <v>36</v>
      </c>
      <c r="G525">
        <v>263</v>
      </c>
      <c r="H525">
        <v>3115</v>
      </c>
      <c r="Q525" s="2"/>
      <c r="V525" s="2"/>
      <c r="Z525" s="2"/>
      <c r="AA525" s="2"/>
      <c r="AB525" s="2"/>
    </row>
    <row r="526" spans="1:28" x14ac:dyDescent="0.25">
      <c r="A526">
        <v>4702921684</v>
      </c>
      <c r="B526" s="1">
        <v>42491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2017</v>
      </c>
      <c r="Q526" s="2"/>
      <c r="V526" s="2"/>
      <c r="Z526" s="2"/>
      <c r="AA526" s="2"/>
      <c r="AB526" s="2"/>
    </row>
    <row r="527" spans="1:28" x14ac:dyDescent="0.25">
      <c r="A527">
        <v>4702921684</v>
      </c>
      <c r="B527" s="1">
        <v>42492</v>
      </c>
      <c r="C527">
        <v>7245</v>
      </c>
      <c r="D527">
        <v>5.9200000762939498</v>
      </c>
      <c r="E527">
        <v>5</v>
      </c>
      <c r="F527">
        <v>40</v>
      </c>
      <c r="G527">
        <v>195</v>
      </c>
      <c r="H527">
        <v>2859</v>
      </c>
      <c r="Q527" s="2"/>
      <c r="V527" s="2"/>
      <c r="Z527" s="2"/>
      <c r="AA527" s="2"/>
      <c r="AB527" s="2"/>
    </row>
    <row r="528" spans="1:28" x14ac:dyDescent="0.25">
      <c r="A528">
        <v>4702921684</v>
      </c>
      <c r="B528" s="1">
        <v>42493</v>
      </c>
      <c r="C528">
        <v>9454</v>
      </c>
      <c r="D528">
        <v>7.6700000762939498</v>
      </c>
      <c r="E528">
        <v>0</v>
      </c>
      <c r="F528">
        <v>0</v>
      </c>
      <c r="G528">
        <v>313</v>
      </c>
      <c r="H528">
        <v>3145</v>
      </c>
      <c r="Q528" s="2"/>
      <c r="V528" s="2"/>
      <c r="Z528" s="2"/>
      <c r="AA528" s="2"/>
      <c r="AB528" s="2"/>
    </row>
    <row r="529" spans="1:28" x14ac:dyDescent="0.25">
      <c r="A529">
        <v>4702921684</v>
      </c>
      <c r="B529" s="1">
        <v>42494</v>
      </c>
      <c r="C529">
        <v>8161</v>
      </c>
      <c r="D529">
        <v>6.6199998855590803</v>
      </c>
      <c r="E529">
        <v>4</v>
      </c>
      <c r="F529">
        <v>15</v>
      </c>
      <c r="G529">
        <v>251</v>
      </c>
      <c r="H529">
        <v>3004</v>
      </c>
      <c r="Q529" s="2"/>
      <c r="V529" s="2"/>
      <c r="Z529" s="2"/>
      <c r="AA529" s="2"/>
      <c r="AB529" s="2"/>
    </row>
    <row r="530" spans="1:28" x14ac:dyDescent="0.25">
      <c r="A530">
        <v>4702921684</v>
      </c>
      <c r="B530" s="1">
        <v>42495</v>
      </c>
      <c r="C530">
        <v>8614</v>
      </c>
      <c r="D530">
        <v>6.9899997711181596</v>
      </c>
      <c r="E530">
        <v>8</v>
      </c>
      <c r="F530">
        <v>5</v>
      </c>
      <c r="G530">
        <v>241</v>
      </c>
      <c r="H530">
        <v>3006</v>
      </c>
      <c r="Q530" s="2"/>
      <c r="V530" s="2"/>
      <c r="Z530" s="2"/>
      <c r="AA530" s="2"/>
      <c r="AB530" s="2"/>
    </row>
    <row r="531" spans="1:28" x14ac:dyDescent="0.25">
      <c r="A531">
        <v>4702921684</v>
      </c>
      <c r="B531" s="1">
        <v>42496</v>
      </c>
      <c r="C531">
        <v>6943</v>
      </c>
      <c r="D531">
        <v>5.6300001144409197</v>
      </c>
      <c r="E531">
        <v>1</v>
      </c>
      <c r="F531">
        <v>16</v>
      </c>
      <c r="G531">
        <v>207</v>
      </c>
      <c r="H531">
        <v>2859</v>
      </c>
      <c r="Q531" s="2"/>
      <c r="V531" s="2"/>
      <c r="Z531" s="2"/>
      <c r="AA531" s="2"/>
      <c r="AB531" s="2"/>
    </row>
    <row r="532" spans="1:28" x14ac:dyDescent="0.25">
      <c r="A532">
        <v>4702921684</v>
      </c>
      <c r="B532" s="1">
        <v>42497</v>
      </c>
      <c r="C532">
        <v>14370</v>
      </c>
      <c r="D532">
        <v>11.6499996185303</v>
      </c>
      <c r="E532">
        <v>5</v>
      </c>
      <c r="F532">
        <v>46</v>
      </c>
      <c r="G532">
        <v>439</v>
      </c>
      <c r="H532">
        <v>3683</v>
      </c>
      <c r="Q532" s="2"/>
      <c r="V532" s="2"/>
      <c r="Z532" s="2"/>
      <c r="AA532" s="2"/>
      <c r="AB532" s="2"/>
    </row>
    <row r="533" spans="1:28" x14ac:dyDescent="0.25">
      <c r="A533">
        <v>4702921684</v>
      </c>
      <c r="B533" s="1">
        <v>42498</v>
      </c>
      <c r="C533">
        <v>12857</v>
      </c>
      <c r="D533">
        <v>10.430000305175801</v>
      </c>
      <c r="E533">
        <v>9</v>
      </c>
      <c r="F533">
        <v>125</v>
      </c>
      <c r="G533">
        <v>192</v>
      </c>
      <c r="H533">
        <v>3287</v>
      </c>
      <c r="Q533" s="2"/>
      <c r="V533" s="2"/>
      <c r="Z533" s="2"/>
      <c r="AA533" s="2"/>
      <c r="AB533" s="2"/>
    </row>
    <row r="534" spans="1:28" x14ac:dyDescent="0.25">
      <c r="A534">
        <v>4702921684</v>
      </c>
      <c r="B534" s="1">
        <v>42499</v>
      </c>
      <c r="C534">
        <v>8232</v>
      </c>
      <c r="D534">
        <v>6.6799998283386204</v>
      </c>
      <c r="E534">
        <v>0</v>
      </c>
      <c r="F534">
        <v>12</v>
      </c>
      <c r="G534">
        <v>253</v>
      </c>
      <c r="H534">
        <v>2990</v>
      </c>
      <c r="Q534" s="2"/>
      <c r="V534" s="2"/>
      <c r="Z534" s="2"/>
      <c r="AA534" s="2"/>
      <c r="AB534" s="2"/>
    </row>
    <row r="535" spans="1:28" x14ac:dyDescent="0.25">
      <c r="A535">
        <v>4702921684</v>
      </c>
      <c r="B535" s="1">
        <v>42500</v>
      </c>
      <c r="C535">
        <v>10613</v>
      </c>
      <c r="D535">
        <v>8.6099996566772496</v>
      </c>
      <c r="E535">
        <v>1</v>
      </c>
      <c r="F535">
        <v>37</v>
      </c>
      <c r="G535">
        <v>262</v>
      </c>
      <c r="H535">
        <v>3172</v>
      </c>
      <c r="Q535" s="2"/>
      <c r="V535" s="2"/>
      <c r="Z535" s="2"/>
      <c r="AA535" s="2"/>
      <c r="AB535" s="2"/>
    </row>
    <row r="536" spans="1:28" x14ac:dyDescent="0.25">
      <c r="A536">
        <v>4702921684</v>
      </c>
      <c r="B536" s="1">
        <v>42501</v>
      </c>
      <c r="C536">
        <v>9810</v>
      </c>
      <c r="D536">
        <v>7.96000003814697</v>
      </c>
      <c r="E536">
        <v>10</v>
      </c>
      <c r="F536">
        <v>41</v>
      </c>
      <c r="G536">
        <v>235</v>
      </c>
      <c r="H536">
        <v>3069</v>
      </c>
      <c r="Q536" s="2"/>
      <c r="V536" s="2"/>
      <c r="Z536" s="2"/>
      <c r="AA536" s="2"/>
      <c r="AB536" s="2"/>
    </row>
    <row r="537" spans="1:28" x14ac:dyDescent="0.25">
      <c r="A537">
        <v>4702921684</v>
      </c>
      <c r="B537" s="1">
        <v>42502</v>
      </c>
      <c r="C537">
        <v>2752</v>
      </c>
      <c r="D537">
        <v>2.2300000190734899</v>
      </c>
      <c r="E537">
        <v>0</v>
      </c>
      <c r="F537">
        <v>0</v>
      </c>
      <c r="G537">
        <v>68</v>
      </c>
      <c r="H537">
        <v>1240</v>
      </c>
      <c r="Q537" s="2"/>
      <c r="V537" s="2"/>
      <c r="Z537" s="2"/>
      <c r="AA537" s="2"/>
      <c r="AB537" s="2"/>
    </row>
    <row r="538" spans="1:28" x14ac:dyDescent="0.25">
      <c r="A538">
        <v>5553957443</v>
      </c>
      <c r="B538" s="1">
        <v>42472</v>
      </c>
      <c r="C538">
        <v>11596</v>
      </c>
      <c r="D538">
        <v>7.5700001716613796</v>
      </c>
      <c r="E538">
        <v>19</v>
      </c>
      <c r="F538">
        <v>13</v>
      </c>
      <c r="G538">
        <v>277</v>
      </c>
      <c r="H538">
        <v>2026</v>
      </c>
      <c r="Q538" s="2"/>
      <c r="V538" s="2"/>
      <c r="Z538" s="2"/>
      <c r="AA538" s="2"/>
      <c r="AB538" s="2"/>
    </row>
    <row r="539" spans="1:28" x14ac:dyDescent="0.25">
      <c r="A539">
        <v>5553957443</v>
      </c>
      <c r="B539" s="1">
        <v>42473</v>
      </c>
      <c r="C539">
        <v>4832</v>
      </c>
      <c r="D539">
        <v>3.1600000858306898</v>
      </c>
      <c r="E539">
        <v>0</v>
      </c>
      <c r="F539">
        <v>0</v>
      </c>
      <c r="G539">
        <v>226</v>
      </c>
      <c r="H539">
        <v>1718</v>
      </c>
      <c r="Q539" s="2"/>
      <c r="V539" s="2"/>
      <c r="Z539" s="2"/>
      <c r="AA539" s="2"/>
      <c r="AB539" s="2"/>
    </row>
    <row r="540" spans="1:28" x14ac:dyDescent="0.25">
      <c r="A540">
        <v>5553957443</v>
      </c>
      <c r="B540" s="1">
        <v>42474</v>
      </c>
      <c r="C540">
        <v>17022</v>
      </c>
      <c r="D540">
        <v>11.1199998855591</v>
      </c>
      <c r="E540">
        <v>61</v>
      </c>
      <c r="F540">
        <v>41</v>
      </c>
      <c r="G540">
        <v>256</v>
      </c>
      <c r="H540">
        <v>2324</v>
      </c>
      <c r="Q540" s="2"/>
      <c r="V540" s="2"/>
      <c r="Z540" s="2"/>
      <c r="AA540" s="2"/>
      <c r="AB540" s="2"/>
    </row>
    <row r="541" spans="1:28" x14ac:dyDescent="0.25">
      <c r="A541">
        <v>5553957443</v>
      </c>
      <c r="B541" s="1">
        <v>42475</v>
      </c>
      <c r="C541">
        <v>16556</v>
      </c>
      <c r="D541">
        <v>10.8599996566772</v>
      </c>
      <c r="E541">
        <v>58</v>
      </c>
      <c r="F541">
        <v>38</v>
      </c>
      <c r="G541">
        <v>239</v>
      </c>
      <c r="H541">
        <v>2254</v>
      </c>
      <c r="Q541" s="2"/>
      <c r="V541" s="2"/>
      <c r="Z541" s="2"/>
      <c r="AA541" s="2"/>
      <c r="AB541" s="2"/>
    </row>
    <row r="542" spans="1:28" x14ac:dyDescent="0.25">
      <c r="A542">
        <v>5553957443</v>
      </c>
      <c r="B542" s="1">
        <v>42476</v>
      </c>
      <c r="C542">
        <v>5771</v>
      </c>
      <c r="D542">
        <v>3.7699999809265101</v>
      </c>
      <c r="E542">
        <v>0</v>
      </c>
      <c r="F542">
        <v>0</v>
      </c>
      <c r="G542">
        <v>288</v>
      </c>
      <c r="H542">
        <v>1831</v>
      </c>
      <c r="Q542" s="2"/>
      <c r="V542" s="2"/>
      <c r="Z542" s="2"/>
      <c r="AA542" s="2"/>
      <c r="AB542" s="2"/>
    </row>
    <row r="543" spans="1:28" x14ac:dyDescent="0.25">
      <c r="A543">
        <v>5553957443</v>
      </c>
      <c r="B543" s="1">
        <v>42477</v>
      </c>
      <c r="C543">
        <v>655</v>
      </c>
      <c r="D543">
        <v>0.43000000715255698</v>
      </c>
      <c r="E543">
        <v>0</v>
      </c>
      <c r="F543">
        <v>0</v>
      </c>
      <c r="G543">
        <v>46</v>
      </c>
      <c r="H543">
        <v>1397</v>
      </c>
      <c r="Q543" s="2"/>
      <c r="V543" s="2"/>
      <c r="Z543" s="2"/>
      <c r="AA543" s="2"/>
      <c r="AB543" s="2"/>
    </row>
    <row r="544" spans="1:28" x14ac:dyDescent="0.25">
      <c r="A544">
        <v>5553957443</v>
      </c>
      <c r="B544" s="1">
        <v>42478</v>
      </c>
      <c r="C544">
        <v>3727</v>
      </c>
      <c r="D544">
        <v>2.4300000667571999</v>
      </c>
      <c r="E544">
        <v>0</v>
      </c>
      <c r="F544">
        <v>0</v>
      </c>
      <c r="G544">
        <v>206</v>
      </c>
      <c r="H544">
        <v>1683</v>
      </c>
      <c r="Q544" s="2"/>
      <c r="V544" s="2"/>
      <c r="Z544" s="2"/>
      <c r="AA544" s="2"/>
      <c r="AB544" s="2"/>
    </row>
    <row r="545" spans="1:28" x14ac:dyDescent="0.25">
      <c r="A545">
        <v>5553957443</v>
      </c>
      <c r="B545" s="1">
        <v>42479</v>
      </c>
      <c r="C545">
        <v>15482</v>
      </c>
      <c r="D545">
        <v>10.1099996566772</v>
      </c>
      <c r="E545">
        <v>69</v>
      </c>
      <c r="F545">
        <v>28</v>
      </c>
      <c r="G545">
        <v>249</v>
      </c>
      <c r="H545">
        <v>2284</v>
      </c>
      <c r="Q545" s="2"/>
      <c r="V545" s="2"/>
      <c r="Z545" s="2"/>
      <c r="AA545" s="2"/>
      <c r="AB545" s="2"/>
    </row>
    <row r="546" spans="1:28" x14ac:dyDescent="0.25">
      <c r="A546">
        <v>5553957443</v>
      </c>
      <c r="B546" s="1">
        <v>42480</v>
      </c>
      <c r="C546">
        <v>2713</v>
      </c>
      <c r="D546">
        <v>1.7699999809265099</v>
      </c>
      <c r="E546">
        <v>0</v>
      </c>
      <c r="F546">
        <v>0</v>
      </c>
      <c r="G546">
        <v>148</v>
      </c>
      <c r="H546">
        <v>1570</v>
      </c>
      <c r="Q546" s="2"/>
      <c r="V546" s="2"/>
      <c r="Z546" s="2"/>
      <c r="AA546" s="2"/>
      <c r="AB546" s="2"/>
    </row>
    <row r="547" spans="1:28" x14ac:dyDescent="0.25">
      <c r="A547">
        <v>5553957443</v>
      </c>
      <c r="B547" s="1">
        <v>42481</v>
      </c>
      <c r="C547">
        <v>12346</v>
      </c>
      <c r="D547">
        <v>8.0600004196166992</v>
      </c>
      <c r="E547">
        <v>47</v>
      </c>
      <c r="F547">
        <v>42</v>
      </c>
      <c r="G547">
        <v>177</v>
      </c>
      <c r="H547">
        <v>2066</v>
      </c>
      <c r="Q547" s="2"/>
      <c r="V547" s="2"/>
      <c r="Z547" s="2"/>
      <c r="AA547" s="2"/>
      <c r="AB547" s="2"/>
    </row>
    <row r="548" spans="1:28" x14ac:dyDescent="0.25">
      <c r="A548">
        <v>5553957443</v>
      </c>
      <c r="B548" s="1">
        <v>42482</v>
      </c>
      <c r="C548">
        <v>11682</v>
      </c>
      <c r="D548">
        <v>7.6300001144409197</v>
      </c>
      <c r="E548">
        <v>25</v>
      </c>
      <c r="F548">
        <v>16</v>
      </c>
      <c r="G548">
        <v>270</v>
      </c>
      <c r="H548">
        <v>2105</v>
      </c>
      <c r="Q548" s="2"/>
      <c r="V548" s="2"/>
      <c r="Z548" s="2"/>
      <c r="AA548" s="2"/>
      <c r="AB548" s="2"/>
    </row>
    <row r="549" spans="1:28" x14ac:dyDescent="0.25">
      <c r="A549">
        <v>5553957443</v>
      </c>
      <c r="B549" s="1">
        <v>42483</v>
      </c>
      <c r="C549">
        <v>4112</v>
      </c>
      <c r="D549">
        <v>2.6900000572204599</v>
      </c>
      <c r="E549">
        <v>0</v>
      </c>
      <c r="F549">
        <v>0</v>
      </c>
      <c r="G549">
        <v>272</v>
      </c>
      <c r="H549">
        <v>1776</v>
      </c>
      <c r="Q549" s="2"/>
      <c r="V549" s="2"/>
      <c r="Z549" s="2"/>
      <c r="AA549" s="2"/>
      <c r="AB549" s="2"/>
    </row>
    <row r="550" spans="1:28" x14ac:dyDescent="0.25">
      <c r="A550">
        <v>5553957443</v>
      </c>
      <c r="B550" s="1">
        <v>42484</v>
      </c>
      <c r="C550">
        <v>1807</v>
      </c>
      <c r="D550">
        <v>1.1799999475479099</v>
      </c>
      <c r="E550">
        <v>0</v>
      </c>
      <c r="F550">
        <v>0</v>
      </c>
      <c r="G550">
        <v>104</v>
      </c>
      <c r="H550">
        <v>1507</v>
      </c>
      <c r="Q550" s="2"/>
      <c r="V550" s="2"/>
      <c r="Z550" s="2"/>
      <c r="AA550" s="2"/>
      <c r="AB550" s="2"/>
    </row>
    <row r="551" spans="1:28" x14ac:dyDescent="0.25">
      <c r="A551">
        <v>5553957443</v>
      </c>
      <c r="B551" s="1">
        <v>42485</v>
      </c>
      <c r="C551">
        <v>10946</v>
      </c>
      <c r="D551">
        <v>7.1900000572204599</v>
      </c>
      <c r="E551">
        <v>51</v>
      </c>
      <c r="F551">
        <v>11</v>
      </c>
      <c r="G551">
        <v>201</v>
      </c>
      <c r="H551">
        <v>2033</v>
      </c>
      <c r="Q551" s="2"/>
      <c r="V551" s="2"/>
      <c r="Z551" s="2"/>
      <c r="AA551" s="2"/>
      <c r="AB551" s="2"/>
    </row>
    <row r="552" spans="1:28" x14ac:dyDescent="0.25">
      <c r="A552">
        <v>5553957443</v>
      </c>
      <c r="B552" s="1">
        <v>42486</v>
      </c>
      <c r="C552">
        <v>11886</v>
      </c>
      <c r="D552">
        <v>7.7600002288818404</v>
      </c>
      <c r="E552">
        <v>40</v>
      </c>
      <c r="F552">
        <v>18</v>
      </c>
      <c r="G552">
        <v>238</v>
      </c>
      <c r="H552">
        <v>2093</v>
      </c>
      <c r="Q552" s="2"/>
      <c r="V552" s="2"/>
      <c r="Z552" s="2"/>
      <c r="AA552" s="2"/>
      <c r="AB552" s="2"/>
    </row>
    <row r="553" spans="1:28" x14ac:dyDescent="0.25">
      <c r="A553">
        <v>5553957443</v>
      </c>
      <c r="B553" s="1">
        <v>42487</v>
      </c>
      <c r="C553">
        <v>10538</v>
      </c>
      <c r="D553">
        <v>6.8800001144409197</v>
      </c>
      <c r="E553">
        <v>16</v>
      </c>
      <c r="F553">
        <v>16</v>
      </c>
      <c r="G553">
        <v>206</v>
      </c>
      <c r="H553">
        <v>1922</v>
      </c>
      <c r="Q553" s="2"/>
      <c r="V553" s="2"/>
      <c r="Z553" s="2"/>
      <c r="AA553" s="2"/>
      <c r="AB553" s="2"/>
    </row>
    <row r="554" spans="1:28" x14ac:dyDescent="0.25">
      <c r="A554">
        <v>5553957443</v>
      </c>
      <c r="B554" s="1">
        <v>42488</v>
      </c>
      <c r="C554">
        <v>11393</v>
      </c>
      <c r="D554">
        <v>7.6300001144409197</v>
      </c>
      <c r="E554">
        <v>49</v>
      </c>
      <c r="F554">
        <v>13</v>
      </c>
      <c r="G554">
        <v>165</v>
      </c>
      <c r="H554">
        <v>1999</v>
      </c>
      <c r="Q554" s="2"/>
      <c r="V554" s="2"/>
      <c r="Z554" s="2"/>
      <c r="AA554" s="2"/>
      <c r="AB554" s="2"/>
    </row>
    <row r="555" spans="1:28" x14ac:dyDescent="0.25">
      <c r="A555">
        <v>5553957443</v>
      </c>
      <c r="B555" s="1">
        <v>42489</v>
      </c>
      <c r="C555">
        <v>12764</v>
      </c>
      <c r="D555">
        <v>8.3299999237060494</v>
      </c>
      <c r="E555">
        <v>46</v>
      </c>
      <c r="F555">
        <v>15</v>
      </c>
      <c r="G555">
        <v>270</v>
      </c>
      <c r="H555">
        <v>2169</v>
      </c>
      <c r="Q555" s="2"/>
      <c r="V555" s="2"/>
      <c r="Z555" s="2"/>
      <c r="AA555" s="2"/>
      <c r="AB555" s="2"/>
    </row>
    <row r="556" spans="1:28" x14ac:dyDescent="0.25">
      <c r="A556">
        <v>5553957443</v>
      </c>
      <c r="B556" s="1">
        <v>42490</v>
      </c>
      <c r="C556">
        <v>1202</v>
      </c>
      <c r="D556">
        <v>0.77999997138977095</v>
      </c>
      <c r="E556">
        <v>0</v>
      </c>
      <c r="F556">
        <v>0</v>
      </c>
      <c r="G556">
        <v>84</v>
      </c>
      <c r="H556">
        <v>1463</v>
      </c>
      <c r="Q556" s="2"/>
      <c r="V556" s="2"/>
      <c r="Z556" s="2"/>
      <c r="AA556" s="2"/>
      <c r="AB556" s="2"/>
    </row>
    <row r="557" spans="1:28" x14ac:dyDescent="0.25">
      <c r="A557">
        <v>5553957443</v>
      </c>
      <c r="B557" s="1">
        <v>42491</v>
      </c>
      <c r="C557">
        <v>5164</v>
      </c>
      <c r="D557">
        <v>3.3699998855590798</v>
      </c>
      <c r="E557">
        <v>0</v>
      </c>
      <c r="F557">
        <v>0</v>
      </c>
      <c r="G557">
        <v>237</v>
      </c>
      <c r="H557">
        <v>1747</v>
      </c>
      <c r="Q557" s="2"/>
      <c r="V557" s="2"/>
      <c r="Z557" s="2"/>
      <c r="AA557" s="2"/>
      <c r="AB557" s="2"/>
    </row>
    <row r="558" spans="1:28" x14ac:dyDescent="0.25">
      <c r="A558">
        <v>5553957443</v>
      </c>
      <c r="B558" s="1">
        <v>42492</v>
      </c>
      <c r="C558">
        <v>9769</v>
      </c>
      <c r="D558">
        <v>6.3800001144409197</v>
      </c>
      <c r="E558">
        <v>23</v>
      </c>
      <c r="F558">
        <v>9</v>
      </c>
      <c r="G558">
        <v>227</v>
      </c>
      <c r="H558">
        <v>1996</v>
      </c>
      <c r="Q558" s="2"/>
      <c r="V558" s="2"/>
      <c r="Z558" s="2"/>
      <c r="AA558" s="2"/>
      <c r="AB558" s="2"/>
    </row>
    <row r="559" spans="1:28" x14ac:dyDescent="0.25">
      <c r="A559">
        <v>5553957443</v>
      </c>
      <c r="B559" s="1">
        <v>42493</v>
      </c>
      <c r="C559">
        <v>12848</v>
      </c>
      <c r="D559">
        <v>8.3900003433227504</v>
      </c>
      <c r="E559">
        <v>26</v>
      </c>
      <c r="F559">
        <v>29</v>
      </c>
      <c r="G559">
        <v>247</v>
      </c>
      <c r="H559">
        <v>2116</v>
      </c>
      <c r="Q559" s="2"/>
      <c r="V559" s="2"/>
      <c r="Z559" s="2"/>
      <c r="AA559" s="2"/>
      <c r="AB559" s="2"/>
    </row>
    <row r="560" spans="1:28" x14ac:dyDescent="0.25">
      <c r="A560">
        <v>5553957443</v>
      </c>
      <c r="B560" s="1">
        <v>42494</v>
      </c>
      <c r="C560">
        <v>4249</v>
      </c>
      <c r="D560">
        <v>2.7699999809265101</v>
      </c>
      <c r="E560">
        <v>0</v>
      </c>
      <c r="F560">
        <v>0</v>
      </c>
      <c r="G560">
        <v>224</v>
      </c>
      <c r="H560">
        <v>1698</v>
      </c>
      <c r="Q560" s="2"/>
      <c r="V560" s="2"/>
      <c r="Z560" s="2"/>
      <c r="AA560" s="2"/>
      <c r="AB560" s="2"/>
    </row>
    <row r="561" spans="1:28" x14ac:dyDescent="0.25">
      <c r="A561">
        <v>5553957443</v>
      </c>
      <c r="B561" s="1">
        <v>42495</v>
      </c>
      <c r="C561">
        <v>14331</v>
      </c>
      <c r="D561">
        <v>9.5100002288818395</v>
      </c>
      <c r="E561">
        <v>44</v>
      </c>
      <c r="F561">
        <v>29</v>
      </c>
      <c r="G561">
        <v>241</v>
      </c>
      <c r="H561">
        <v>2156</v>
      </c>
      <c r="Q561" s="2"/>
      <c r="V561" s="2"/>
      <c r="Z561" s="2"/>
      <c r="AA561" s="2"/>
      <c r="AB561" s="2"/>
    </row>
    <row r="562" spans="1:28" x14ac:dyDescent="0.25">
      <c r="A562">
        <v>5553957443</v>
      </c>
      <c r="B562" s="1">
        <v>42496</v>
      </c>
      <c r="C562">
        <v>9632</v>
      </c>
      <c r="D562">
        <v>6.28999996185303</v>
      </c>
      <c r="E562">
        <v>21</v>
      </c>
      <c r="F562">
        <v>9</v>
      </c>
      <c r="G562">
        <v>229</v>
      </c>
      <c r="H562">
        <v>1916</v>
      </c>
      <c r="Q562" s="2"/>
      <c r="V562" s="2"/>
      <c r="Z562" s="2"/>
      <c r="AA562" s="2"/>
      <c r="AB562" s="2"/>
    </row>
    <row r="563" spans="1:28" x14ac:dyDescent="0.25">
      <c r="A563">
        <v>5553957443</v>
      </c>
      <c r="B563" s="1">
        <v>42497</v>
      </c>
      <c r="C563">
        <v>1868</v>
      </c>
      <c r="D563">
        <v>1.2200000286102299</v>
      </c>
      <c r="E563">
        <v>0</v>
      </c>
      <c r="F563">
        <v>0</v>
      </c>
      <c r="G563">
        <v>96</v>
      </c>
      <c r="H563">
        <v>1494</v>
      </c>
      <c r="Q563" s="2"/>
      <c r="V563" s="2"/>
      <c r="Z563" s="2"/>
      <c r="AA563" s="2"/>
      <c r="AB563" s="2"/>
    </row>
    <row r="564" spans="1:28" x14ac:dyDescent="0.25">
      <c r="A564">
        <v>5553957443</v>
      </c>
      <c r="B564" s="1">
        <v>42498</v>
      </c>
      <c r="C564">
        <v>6083</v>
      </c>
      <c r="D564">
        <v>4</v>
      </c>
      <c r="E564">
        <v>3</v>
      </c>
      <c r="F564">
        <v>8</v>
      </c>
      <c r="G564">
        <v>210</v>
      </c>
      <c r="H564">
        <v>1762</v>
      </c>
      <c r="Q564" s="2"/>
      <c r="V564" s="2"/>
      <c r="Z564" s="2"/>
      <c r="AA564" s="2"/>
      <c r="AB564" s="2"/>
    </row>
    <row r="565" spans="1:28" x14ac:dyDescent="0.25">
      <c r="A565">
        <v>5553957443</v>
      </c>
      <c r="B565" s="1">
        <v>42499</v>
      </c>
      <c r="C565">
        <v>11611</v>
      </c>
      <c r="D565">
        <v>7.5799999237060502</v>
      </c>
      <c r="E565">
        <v>59</v>
      </c>
      <c r="F565">
        <v>22</v>
      </c>
      <c r="G565">
        <v>251</v>
      </c>
      <c r="H565">
        <v>2272</v>
      </c>
      <c r="Q565" s="2"/>
      <c r="V565" s="2"/>
      <c r="Z565" s="2"/>
      <c r="AA565" s="2"/>
      <c r="AB565" s="2"/>
    </row>
    <row r="566" spans="1:28" x14ac:dyDescent="0.25">
      <c r="A566">
        <v>5553957443</v>
      </c>
      <c r="B566" s="1">
        <v>42500</v>
      </c>
      <c r="C566">
        <v>16358</v>
      </c>
      <c r="D566">
        <v>10.710000038146999</v>
      </c>
      <c r="E566">
        <v>61</v>
      </c>
      <c r="F566">
        <v>40</v>
      </c>
      <c r="G566">
        <v>265</v>
      </c>
      <c r="H566">
        <v>2335</v>
      </c>
      <c r="Q566" s="2"/>
      <c r="V566" s="2"/>
      <c r="Z566" s="2"/>
      <c r="AA566" s="2"/>
      <c r="AB566" s="2"/>
    </row>
    <row r="567" spans="1:28" x14ac:dyDescent="0.25">
      <c r="A567">
        <v>5553957443</v>
      </c>
      <c r="B567" s="1">
        <v>42501</v>
      </c>
      <c r="C567">
        <v>4926</v>
      </c>
      <c r="D567">
        <v>3.2200000286102299</v>
      </c>
      <c r="E567">
        <v>0</v>
      </c>
      <c r="F567">
        <v>0</v>
      </c>
      <c r="G567">
        <v>195</v>
      </c>
      <c r="H567">
        <v>1693</v>
      </c>
      <c r="Q567" s="2"/>
      <c r="V567" s="2"/>
      <c r="Z567" s="2"/>
      <c r="AA567" s="2"/>
      <c r="AB567" s="2"/>
    </row>
    <row r="568" spans="1:28" x14ac:dyDescent="0.25">
      <c r="A568">
        <v>5553957443</v>
      </c>
      <c r="B568" s="1">
        <v>42502</v>
      </c>
      <c r="C568">
        <v>3121</v>
      </c>
      <c r="D568">
        <v>2.03999996185303</v>
      </c>
      <c r="E568">
        <v>8</v>
      </c>
      <c r="F568">
        <v>6</v>
      </c>
      <c r="G568">
        <v>48</v>
      </c>
      <c r="H568">
        <v>741</v>
      </c>
      <c r="Q568" s="2"/>
      <c r="V568" s="2"/>
      <c r="Z568" s="2"/>
      <c r="AA568" s="2"/>
      <c r="AB568" s="2"/>
    </row>
    <row r="569" spans="1:28" x14ac:dyDescent="0.25">
      <c r="A569">
        <v>5577150313</v>
      </c>
      <c r="B569" s="1">
        <v>42472</v>
      </c>
      <c r="C569">
        <v>8135</v>
      </c>
      <c r="D569">
        <v>6.0799999237060502</v>
      </c>
      <c r="E569">
        <v>86</v>
      </c>
      <c r="F569">
        <v>16</v>
      </c>
      <c r="G569">
        <v>140</v>
      </c>
      <c r="H569">
        <v>3405</v>
      </c>
      <c r="Q569" s="2"/>
      <c r="V569" s="2"/>
      <c r="Z569" s="2"/>
      <c r="AA569" s="2"/>
      <c r="AB569" s="2"/>
    </row>
    <row r="570" spans="1:28" x14ac:dyDescent="0.25">
      <c r="A570">
        <v>5577150313</v>
      </c>
      <c r="B570" s="1">
        <v>42473</v>
      </c>
      <c r="C570">
        <v>5077</v>
      </c>
      <c r="D570">
        <v>3.78999996185303</v>
      </c>
      <c r="E570">
        <v>15</v>
      </c>
      <c r="F570">
        <v>11</v>
      </c>
      <c r="G570">
        <v>144</v>
      </c>
      <c r="H570">
        <v>2551</v>
      </c>
      <c r="Q570" s="2"/>
      <c r="V570" s="2"/>
      <c r="Z570" s="2"/>
      <c r="AA570" s="2"/>
      <c r="AB570" s="2"/>
    </row>
    <row r="571" spans="1:28" x14ac:dyDescent="0.25">
      <c r="A571">
        <v>5577150313</v>
      </c>
      <c r="B571" s="1">
        <v>42474</v>
      </c>
      <c r="C571">
        <v>8596</v>
      </c>
      <c r="D571">
        <v>6.4200000762939498</v>
      </c>
      <c r="E571">
        <v>118</v>
      </c>
      <c r="F571">
        <v>30</v>
      </c>
      <c r="G571">
        <v>176</v>
      </c>
      <c r="H571">
        <v>4022</v>
      </c>
      <c r="Q571" s="2"/>
      <c r="V571" s="2"/>
      <c r="Z571" s="2"/>
      <c r="AA571" s="2"/>
      <c r="AB571" s="2"/>
    </row>
    <row r="572" spans="1:28" x14ac:dyDescent="0.25">
      <c r="A572">
        <v>5577150313</v>
      </c>
      <c r="B572" s="1">
        <v>42475</v>
      </c>
      <c r="C572">
        <v>12087</v>
      </c>
      <c r="D572">
        <v>9.0799999237060494</v>
      </c>
      <c r="E572">
        <v>115</v>
      </c>
      <c r="F572">
        <v>54</v>
      </c>
      <c r="G572">
        <v>199</v>
      </c>
      <c r="H572">
        <v>4005</v>
      </c>
      <c r="Q572" s="2"/>
      <c r="V572" s="2"/>
      <c r="Z572" s="2"/>
      <c r="AA572" s="2"/>
      <c r="AB572" s="2"/>
    </row>
    <row r="573" spans="1:28" x14ac:dyDescent="0.25">
      <c r="A573">
        <v>5577150313</v>
      </c>
      <c r="B573" s="1">
        <v>42476</v>
      </c>
      <c r="C573">
        <v>14269</v>
      </c>
      <c r="D573">
        <v>10.6599998474121</v>
      </c>
      <c r="E573">
        <v>184</v>
      </c>
      <c r="F573">
        <v>56</v>
      </c>
      <c r="G573">
        <v>158</v>
      </c>
      <c r="H573">
        <v>4274</v>
      </c>
      <c r="Q573" s="2"/>
      <c r="V573" s="2"/>
      <c r="Z573" s="2"/>
      <c r="AA573" s="2"/>
      <c r="AB573" s="2"/>
    </row>
    <row r="574" spans="1:28" x14ac:dyDescent="0.25">
      <c r="A574">
        <v>5577150313</v>
      </c>
      <c r="B574" s="1">
        <v>42477</v>
      </c>
      <c r="C574">
        <v>12231</v>
      </c>
      <c r="D574">
        <v>9.1400003433227504</v>
      </c>
      <c r="E574">
        <v>200</v>
      </c>
      <c r="F574">
        <v>37</v>
      </c>
      <c r="G574">
        <v>159</v>
      </c>
      <c r="H574">
        <v>4552</v>
      </c>
      <c r="Q574" s="2"/>
      <c r="V574" s="2"/>
      <c r="Z574" s="2"/>
      <c r="AA574" s="2"/>
      <c r="AB574" s="2"/>
    </row>
    <row r="575" spans="1:28" x14ac:dyDescent="0.25">
      <c r="A575">
        <v>5577150313</v>
      </c>
      <c r="B575" s="1">
        <v>42478</v>
      </c>
      <c r="C575">
        <v>9893</v>
      </c>
      <c r="D575">
        <v>7.3899998664856001</v>
      </c>
      <c r="E575">
        <v>114</v>
      </c>
      <c r="F575">
        <v>32</v>
      </c>
      <c r="G575">
        <v>130</v>
      </c>
      <c r="H575">
        <v>3625</v>
      </c>
      <c r="Q575" s="2"/>
      <c r="V575" s="2"/>
      <c r="Z575" s="2"/>
      <c r="AA575" s="2"/>
      <c r="AB575" s="2"/>
    </row>
    <row r="576" spans="1:28" x14ac:dyDescent="0.25">
      <c r="A576">
        <v>5577150313</v>
      </c>
      <c r="B576" s="1">
        <v>42479</v>
      </c>
      <c r="C576">
        <v>12574</v>
      </c>
      <c r="D576">
        <v>9.4200000762939506</v>
      </c>
      <c r="E576">
        <v>108</v>
      </c>
      <c r="F576">
        <v>23</v>
      </c>
      <c r="G576">
        <v>111</v>
      </c>
      <c r="H576">
        <v>3501</v>
      </c>
      <c r="Q576" s="2"/>
      <c r="V576" s="2"/>
      <c r="Z576" s="2"/>
      <c r="AA576" s="2"/>
      <c r="AB576" s="2"/>
    </row>
    <row r="577" spans="1:28" x14ac:dyDescent="0.25">
      <c r="A577">
        <v>5577150313</v>
      </c>
      <c r="B577" s="1">
        <v>42480</v>
      </c>
      <c r="C577">
        <v>8330</v>
      </c>
      <c r="D577">
        <v>6.2199997901916504</v>
      </c>
      <c r="E577">
        <v>87</v>
      </c>
      <c r="F577">
        <v>16</v>
      </c>
      <c r="G577">
        <v>113</v>
      </c>
      <c r="H577">
        <v>3192</v>
      </c>
      <c r="Q577" s="2"/>
      <c r="V577" s="2"/>
      <c r="Z577" s="2"/>
      <c r="AA577" s="2"/>
      <c r="AB577" s="2"/>
    </row>
    <row r="578" spans="1:28" x14ac:dyDescent="0.25">
      <c r="A578">
        <v>5577150313</v>
      </c>
      <c r="B578" s="1">
        <v>42481</v>
      </c>
      <c r="C578">
        <v>10830</v>
      </c>
      <c r="D578">
        <v>8.0900001525878906</v>
      </c>
      <c r="E578">
        <v>110</v>
      </c>
      <c r="F578">
        <v>74</v>
      </c>
      <c r="G578">
        <v>175</v>
      </c>
      <c r="H578">
        <v>4018</v>
      </c>
      <c r="Q578" s="2"/>
      <c r="V578" s="2"/>
      <c r="Z578" s="2"/>
      <c r="AA578" s="2"/>
      <c r="AB578" s="2"/>
    </row>
    <row r="579" spans="1:28" x14ac:dyDescent="0.25">
      <c r="A579">
        <v>5577150313</v>
      </c>
      <c r="B579" s="1">
        <v>42482</v>
      </c>
      <c r="C579">
        <v>9172</v>
      </c>
      <c r="D579">
        <v>6.8499999046325701</v>
      </c>
      <c r="E579">
        <v>62</v>
      </c>
      <c r="F579">
        <v>30</v>
      </c>
      <c r="G579">
        <v>200</v>
      </c>
      <c r="H579">
        <v>3329</v>
      </c>
      <c r="Q579" s="2"/>
      <c r="V579" s="2"/>
      <c r="Z579" s="2"/>
      <c r="AA579" s="2"/>
      <c r="AB579" s="2"/>
    </row>
    <row r="580" spans="1:28" x14ac:dyDescent="0.25">
      <c r="A580">
        <v>5577150313</v>
      </c>
      <c r="B580" s="1">
        <v>42483</v>
      </c>
      <c r="C580">
        <v>7638</v>
      </c>
      <c r="D580">
        <v>5.71000003814697</v>
      </c>
      <c r="E580">
        <v>24</v>
      </c>
      <c r="F580">
        <v>24</v>
      </c>
      <c r="G580">
        <v>223</v>
      </c>
      <c r="H580">
        <v>3152</v>
      </c>
      <c r="Q580" s="2"/>
      <c r="V580" s="2"/>
      <c r="Z580" s="2"/>
      <c r="AA580" s="2"/>
      <c r="AB580" s="2"/>
    </row>
    <row r="581" spans="1:28" x14ac:dyDescent="0.25">
      <c r="A581">
        <v>5577150313</v>
      </c>
      <c r="B581" s="1">
        <v>42484</v>
      </c>
      <c r="C581">
        <v>15764</v>
      </c>
      <c r="D581">
        <v>11.7799997329712</v>
      </c>
      <c r="E581">
        <v>210</v>
      </c>
      <c r="F581">
        <v>65</v>
      </c>
      <c r="G581">
        <v>141</v>
      </c>
      <c r="H581">
        <v>4392</v>
      </c>
      <c r="Q581" s="2"/>
      <c r="V581" s="2"/>
      <c r="Z581" s="2"/>
      <c r="AA581" s="2"/>
      <c r="AB581" s="2"/>
    </row>
    <row r="582" spans="1:28" x14ac:dyDescent="0.25">
      <c r="A582">
        <v>5577150313</v>
      </c>
      <c r="B582" s="1">
        <v>42485</v>
      </c>
      <c r="C582">
        <v>6393</v>
      </c>
      <c r="D582">
        <v>4.7800002098083496</v>
      </c>
      <c r="E582">
        <v>61</v>
      </c>
      <c r="F582">
        <v>38</v>
      </c>
      <c r="G582">
        <v>214</v>
      </c>
      <c r="H582">
        <v>3374</v>
      </c>
      <c r="Q582" s="2"/>
      <c r="V582" s="2"/>
      <c r="Z582" s="2"/>
      <c r="AA582" s="2"/>
      <c r="AB582" s="2"/>
    </row>
    <row r="583" spans="1:28" x14ac:dyDescent="0.25">
      <c r="A583">
        <v>5577150313</v>
      </c>
      <c r="B583" s="1">
        <v>42486</v>
      </c>
      <c r="C583">
        <v>5325</v>
      </c>
      <c r="D583">
        <v>3.9800000190734899</v>
      </c>
      <c r="E583">
        <v>38</v>
      </c>
      <c r="F583">
        <v>32</v>
      </c>
      <c r="G583">
        <v>181</v>
      </c>
      <c r="H583">
        <v>3088</v>
      </c>
      <c r="Q583" s="2"/>
      <c r="V583" s="2"/>
      <c r="Z583" s="2"/>
      <c r="AA583" s="2"/>
      <c r="AB583" s="2"/>
    </row>
    <row r="584" spans="1:28" x14ac:dyDescent="0.25">
      <c r="A584">
        <v>5577150313</v>
      </c>
      <c r="B584" s="1">
        <v>42487</v>
      </c>
      <c r="C584">
        <v>6805</v>
      </c>
      <c r="D584">
        <v>5.1399998664856001</v>
      </c>
      <c r="E584">
        <v>63</v>
      </c>
      <c r="F584">
        <v>16</v>
      </c>
      <c r="G584">
        <v>190</v>
      </c>
      <c r="H584">
        <v>3294</v>
      </c>
      <c r="Q584" s="2"/>
      <c r="V584" s="2"/>
      <c r="Z584" s="2"/>
      <c r="AA584" s="2"/>
      <c r="AB584" s="2"/>
    </row>
    <row r="585" spans="1:28" x14ac:dyDescent="0.25">
      <c r="A585">
        <v>5577150313</v>
      </c>
      <c r="B585" s="1">
        <v>42488</v>
      </c>
      <c r="C585">
        <v>9841</v>
      </c>
      <c r="D585">
        <v>7.4299998283386204</v>
      </c>
      <c r="E585">
        <v>99</v>
      </c>
      <c r="F585">
        <v>51</v>
      </c>
      <c r="G585">
        <v>141</v>
      </c>
      <c r="H585">
        <v>3580</v>
      </c>
      <c r="Q585" s="2"/>
      <c r="V585" s="2"/>
      <c r="Z585" s="2"/>
      <c r="AA585" s="2"/>
      <c r="AB585" s="2"/>
    </row>
    <row r="586" spans="1:28" x14ac:dyDescent="0.25">
      <c r="A586">
        <v>5577150313</v>
      </c>
      <c r="B586" s="1">
        <v>42489</v>
      </c>
      <c r="C586">
        <v>7924</v>
      </c>
      <c r="D586">
        <v>5.9200000762939498</v>
      </c>
      <c r="E586">
        <v>97</v>
      </c>
      <c r="F586">
        <v>36</v>
      </c>
      <c r="G586">
        <v>165</v>
      </c>
      <c r="H586">
        <v>3544</v>
      </c>
      <c r="Q586" s="2"/>
      <c r="V586" s="2"/>
      <c r="Z586" s="2"/>
      <c r="AA586" s="2"/>
      <c r="AB586" s="2"/>
    </row>
    <row r="587" spans="1:28" x14ac:dyDescent="0.25">
      <c r="A587">
        <v>5577150313</v>
      </c>
      <c r="B587" s="1">
        <v>42490</v>
      </c>
      <c r="C587">
        <v>12363</v>
      </c>
      <c r="D587">
        <v>9.2399997711181605</v>
      </c>
      <c r="E587">
        <v>207</v>
      </c>
      <c r="F587">
        <v>45</v>
      </c>
      <c r="G587">
        <v>163</v>
      </c>
      <c r="H587">
        <v>4501</v>
      </c>
      <c r="Q587" s="2"/>
      <c r="V587" s="2"/>
      <c r="Z587" s="2"/>
      <c r="AA587" s="2"/>
      <c r="AB587" s="2"/>
    </row>
    <row r="588" spans="1:28" x14ac:dyDescent="0.25">
      <c r="A588">
        <v>5577150313</v>
      </c>
      <c r="B588" s="1">
        <v>42491</v>
      </c>
      <c r="C588">
        <v>13368</v>
      </c>
      <c r="D588">
        <v>9.9899997711181605</v>
      </c>
      <c r="E588">
        <v>194</v>
      </c>
      <c r="F588">
        <v>72</v>
      </c>
      <c r="G588">
        <v>178</v>
      </c>
      <c r="H588">
        <v>4546</v>
      </c>
      <c r="Q588" s="2"/>
      <c r="V588" s="2"/>
      <c r="Z588" s="2"/>
      <c r="AA588" s="2"/>
      <c r="AB588" s="2"/>
    </row>
    <row r="589" spans="1:28" x14ac:dyDescent="0.25">
      <c r="A589">
        <v>5577150313</v>
      </c>
      <c r="B589" s="1">
        <v>42492</v>
      </c>
      <c r="C589">
        <v>7439</v>
      </c>
      <c r="D589">
        <v>5.5599999427795401</v>
      </c>
      <c r="E589">
        <v>37</v>
      </c>
      <c r="F589">
        <v>20</v>
      </c>
      <c r="G589">
        <v>235</v>
      </c>
      <c r="H589">
        <v>3014</v>
      </c>
      <c r="Q589" s="2"/>
      <c r="V589" s="2"/>
      <c r="Z589" s="2"/>
      <c r="AA589" s="2"/>
      <c r="AB589" s="2"/>
    </row>
    <row r="590" spans="1:28" x14ac:dyDescent="0.25">
      <c r="A590">
        <v>5577150313</v>
      </c>
      <c r="B590" s="1">
        <v>42493</v>
      </c>
      <c r="C590">
        <v>11045</v>
      </c>
      <c r="D590">
        <v>8.25</v>
      </c>
      <c r="E590">
        <v>97</v>
      </c>
      <c r="F590">
        <v>8</v>
      </c>
      <c r="G590">
        <v>212</v>
      </c>
      <c r="H590">
        <v>3795</v>
      </c>
      <c r="Q590" s="2"/>
      <c r="V590" s="2"/>
      <c r="Z590" s="2"/>
      <c r="AA590" s="2"/>
      <c r="AB590" s="2"/>
    </row>
    <row r="591" spans="1:28" x14ac:dyDescent="0.25">
      <c r="A591">
        <v>5577150313</v>
      </c>
      <c r="B591" s="1">
        <v>42494</v>
      </c>
      <c r="C591">
        <v>5206</v>
      </c>
      <c r="D591">
        <v>3.8900001049041699</v>
      </c>
      <c r="E591">
        <v>25</v>
      </c>
      <c r="F591">
        <v>9</v>
      </c>
      <c r="G591">
        <v>141</v>
      </c>
      <c r="H591">
        <v>2755</v>
      </c>
      <c r="Q591" s="2"/>
      <c r="V591" s="2"/>
      <c r="Z591" s="2"/>
      <c r="AA591" s="2"/>
      <c r="AB591" s="2"/>
    </row>
    <row r="592" spans="1:28" x14ac:dyDescent="0.25">
      <c r="A592">
        <v>5577150313</v>
      </c>
      <c r="B592" s="1">
        <v>42495</v>
      </c>
      <c r="C592">
        <v>7550</v>
      </c>
      <c r="D592">
        <v>5.6399998664856001</v>
      </c>
      <c r="E592">
        <v>45</v>
      </c>
      <c r="F592">
        <v>21</v>
      </c>
      <c r="G592">
        <v>143</v>
      </c>
      <c r="H592">
        <v>3004</v>
      </c>
      <c r="Q592" s="2"/>
      <c r="V592" s="2"/>
      <c r="Z592" s="2"/>
      <c r="AA592" s="2"/>
      <c r="AB592" s="2"/>
    </row>
    <row r="593" spans="1:28" x14ac:dyDescent="0.25">
      <c r="A593">
        <v>5577150313</v>
      </c>
      <c r="B593" s="1">
        <v>42496</v>
      </c>
      <c r="C593">
        <v>4950</v>
      </c>
      <c r="D593">
        <v>3.7000000476837198</v>
      </c>
      <c r="E593">
        <v>41</v>
      </c>
      <c r="F593">
        <v>16</v>
      </c>
      <c r="G593">
        <v>79</v>
      </c>
      <c r="H593">
        <v>2643</v>
      </c>
      <c r="Q593" s="2"/>
      <c r="V593" s="2"/>
      <c r="Z593" s="2"/>
      <c r="AA593" s="2"/>
      <c r="AB593" s="2"/>
    </row>
    <row r="594" spans="1:28" x14ac:dyDescent="0.25">
      <c r="A594">
        <v>5577150313</v>
      </c>
      <c r="B594" s="1">
        <v>42497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1819</v>
      </c>
      <c r="Q594" s="2"/>
      <c r="V594" s="2"/>
      <c r="Z594" s="2"/>
      <c r="AA594" s="2"/>
      <c r="AB594" s="2"/>
    </row>
    <row r="595" spans="1:28" x14ac:dyDescent="0.25">
      <c r="A595">
        <v>5577150313</v>
      </c>
      <c r="B595" s="1">
        <v>42498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1819</v>
      </c>
      <c r="Q595" s="2"/>
      <c r="V595" s="2"/>
      <c r="Z595" s="2"/>
      <c r="AA595" s="2"/>
      <c r="AB595" s="2"/>
    </row>
    <row r="596" spans="1:28" x14ac:dyDescent="0.25">
      <c r="A596">
        <v>5577150313</v>
      </c>
      <c r="B596" s="1">
        <v>42499</v>
      </c>
      <c r="C596">
        <v>3421</v>
      </c>
      <c r="D596">
        <v>2.5599999427795401</v>
      </c>
      <c r="E596">
        <v>34</v>
      </c>
      <c r="F596">
        <v>11</v>
      </c>
      <c r="G596">
        <v>70</v>
      </c>
      <c r="H596">
        <v>2489</v>
      </c>
      <c r="Q596" s="2"/>
      <c r="V596" s="2"/>
      <c r="Z596" s="2"/>
      <c r="AA596" s="2"/>
      <c r="AB596" s="2"/>
    </row>
    <row r="597" spans="1:28" x14ac:dyDescent="0.25">
      <c r="A597">
        <v>5577150313</v>
      </c>
      <c r="B597" s="1">
        <v>42500</v>
      </c>
      <c r="C597">
        <v>8869</v>
      </c>
      <c r="D597">
        <v>6.6500000953674299</v>
      </c>
      <c r="E597">
        <v>104</v>
      </c>
      <c r="F597">
        <v>37</v>
      </c>
      <c r="G597">
        <v>194</v>
      </c>
      <c r="H597">
        <v>3841</v>
      </c>
      <c r="Q597" s="2"/>
      <c r="V597" s="2"/>
      <c r="Z597" s="2"/>
      <c r="AA597" s="2"/>
      <c r="AB597" s="2"/>
    </row>
    <row r="598" spans="1:28" x14ac:dyDescent="0.25">
      <c r="A598">
        <v>5577150313</v>
      </c>
      <c r="B598" s="1">
        <v>42501</v>
      </c>
      <c r="C598">
        <v>4038</v>
      </c>
      <c r="D598">
        <v>3.03999996185303</v>
      </c>
      <c r="E598">
        <v>45</v>
      </c>
      <c r="F598">
        <v>15</v>
      </c>
      <c r="G598">
        <v>63</v>
      </c>
      <c r="H598">
        <v>1665</v>
      </c>
      <c r="Q598" s="2"/>
      <c r="V598" s="2"/>
      <c r="Z598" s="2"/>
      <c r="AA598" s="2"/>
      <c r="AB598" s="2"/>
    </row>
    <row r="599" spans="1:28" x14ac:dyDescent="0.25">
      <c r="A599">
        <v>6117666160</v>
      </c>
      <c r="B599" s="1">
        <v>42472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1496</v>
      </c>
      <c r="Q599" s="2"/>
      <c r="V599" s="2"/>
      <c r="Z599" s="2"/>
      <c r="AA599" s="2"/>
      <c r="AB599" s="2"/>
    </row>
    <row r="600" spans="1:28" x14ac:dyDescent="0.25">
      <c r="A600">
        <v>6117666160</v>
      </c>
      <c r="B600" s="1">
        <v>42473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1496</v>
      </c>
      <c r="Q600" s="2"/>
      <c r="V600" s="2"/>
      <c r="Z600" s="2"/>
      <c r="AA600" s="2"/>
      <c r="AB600" s="2"/>
    </row>
    <row r="601" spans="1:28" x14ac:dyDescent="0.25">
      <c r="A601">
        <v>6117666160</v>
      </c>
      <c r="B601" s="1">
        <v>42474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1496</v>
      </c>
      <c r="Q601" s="2"/>
      <c r="V601" s="2"/>
      <c r="Z601" s="2"/>
      <c r="AA601" s="2"/>
      <c r="AB601" s="2"/>
    </row>
    <row r="602" spans="1:28" x14ac:dyDescent="0.25">
      <c r="A602">
        <v>6117666160</v>
      </c>
      <c r="B602" s="1">
        <v>42475</v>
      </c>
      <c r="C602">
        <v>14019</v>
      </c>
      <c r="D602">
        <v>10.5900001525879</v>
      </c>
      <c r="E602">
        <v>0</v>
      </c>
      <c r="F602">
        <v>6</v>
      </c>
      <c r="G602">
        <v>513</v>
      </c>
      <c r="H602">
        <v>2865</v>
      </c>
      <c r="Q602" s="2"/>
      <c r="V602" s="2"/>
      <c r="Z602" s="2"/>
      <c r="AA602" s="2"/>
      <c r="AB602" s="2"/>
    </row>
    <row r="603" spans="1:28" x14ac:dyDescent="0.25">
      <c r="A603">
        <v>6117666160</v>
      </c>
      <c r="B603" s="1">
        <v>42476</v>
      </c>
      <c r="C603">
        <v>14450</v>
      </c>
      <c r="D603">
        <v>10.9099998474121</v>
      </c>
      <c r="E603">
        <v>7</v>
      </c>
      <c r="F603">
        <v>15</v>
      </c>
      <c r="G603">
        <v>518</v>
      </c>
      <c r="H603">
        <v>2828</v>
      </c>
      <c r="Q603" s="2"/>
      <c r="V603" s="2"/>
      <c r="Z603" s="2"/>
      <c r="AA603" s="2"/>
      <c r="AB603" s="2"/>
    </row>
    <row r="604" spans="1:28" x14ac:dyDescent="0.25">
      <c r="A604">
        <v>6117666160</v>
      </c>
      <c r="B604" s="1">
        <v>42477</v>
      </c>
      <c r="C604">
        <v>7150</v>
      </c>
      <c r="D604">
        <v>5.4000000953674299</v>
      </c>
      <c r="E604">
        <v>0</v>
      </c>
      <c r="F604">
        <v>0</v>
      </c>
      <c r="G604">
        <v>312</v>
      </c>
      <c r="H604">
        <v>2225</v>
      </c>
      <c r="Q604" s="2"/>
      <c r="V604" s="2"/>
      <c r="Z604" s="2"/>
      <c r="AA604" s="2"/>
      <c r="AB604" s="2"/>
    </row>
    <row r="605" spans="1:28" x14ac:dyDescent="0.25">
      <c r="A605">
        <v>6117666160</v>
      </c>
      <c r="B605" s="1">
        <v>42478</v>
      </c>
      <c r="C605">
        <v>5153</v>
      </c>
      <c r="D605">
        <v>3.9100000858306898</v>
      </c>
      <c r="E605">
        <v>0</v>
      </c>
      <c r="F605">
        <v>0</v>
      </c>
      <c r="G605">
        <v>241</v>
      </c>
      <c r="H605">
        <v>2018</v>
      </c>
      <c r="Q605" s="2"/>
      <c r="V605" s="2"/>
      <c r="Z605" s="2"/>
      <c r="AA605" s="2"/>
      <c r="AB605" s="2"/>
    </row>
    <row r="606" spans="1:28" x14ac:dyDescent="0.25">
      <c r="A606">
        <v>6117666160</v>
      </c>
      <c r="B606" s="1">
        <v>42479</v>
      </c>
      <c r="C606">
        <v>11135</v>
      </c>
      <c r="D606">
        <v>8.4099998474121094</v>
      </c>
      <c r="E606">
        <v>0</v>
      </c>
      <c r="F606">
        <v>0</v>
      </c>
      <c r="G606">
        <v>480</v>
      </c>
      <c r="H606">
        <v>2606</v>
      </c>
      <c r="Q606" s="2"/>
      <c r="V606" s="2"/>
      <c r="Z606" s="2"/>
      <c r="AA606" s="2"/>
      <c r="AB606" s="2"/>
    </row>
    <row r="607" spans="1:28" x14ac:dyDescent="0.25">
      <c r="A607">
        <v>6117666160</v>
      </c>
      <c r="B607" s="1">
        <v>42480</v>
      </c>
      <c r="C607">
        <v>10449</v>
      </c>
      <c r="D607">
        <v>8.0200004577636701</v>
      </c>
      <c r="E607">
        <v>26</v>
      </c>
      <c r="F607">
        <v>10</v>
      </c>
      <c r="G607">
        <v>349</v>
      </c>
      <c r="H607">
        <v>2536</v>
      </c>
      <c r="Q607" s="2"/>
      <c r="V607" s="2"/>
      <c r="Z607" s="2"/>
      <c r="AA607" s="2"/>
      <c r="AB607" s="2"/>
    </row>
    <row r="608" spans="1:28" x14ac:dyDescent="0.25">
      <c r="A608">
        <v>6117666160</v>
      </c>
      <c r="B608" s="1">
        <v>42481</v>
      </c>
      <c r="C608">
        <v>19542</v>
      </c>
      <c r="D608">
        <v>15.0100002288818</v>
      </c>
      <c r="E608">
        <v>11</v>
      </c>
      <c r="F608">
        <v>19</v>
      </c>
      <c r="G608">
        <v>294</v>
      </c>
      <c r="H608">
        <v>4900</v>
      </c>
      <c r="Q608" s="2"/>
      <c r="V608" s="2"/>
      <c r="Z608" s="2"/>
      <c r="AA608" s="2"/>
      <c r="AB608" s="2"/>
    </row>
    <row r="609" spans="1:28" x14ac:dyDescent="0.25">
      <c r="A609">
        <v>6117666160</v>
      </c>
      <c r="B609" s="1">
        <v>42482</v>
      </c>
      <c r="C609">
        <v>8206</v>
      </c>
      <c r="D609">
        <v>6.1999998092651403</v>
      </c>
      <c r="E609">
        <v>0</v>
      </c>
      <c r="F609">
        <v>0</v>
      </c>
      <c r="G609">
        <v>402</v>
      </c>
      <c r="H609">
        <v>2409</v>
      </c>
      <c r="Q609" s="2"/>
      <c r="V609" s="2"/>
      <c r="Z609" s="2"/>
      <c r="AA609" s="2"/>
      <c r="AB609" s="2"/>
    </row>
    <row r="610" spans="1:28" x14ac:dyDescent="0.25">
      <c r="A610">
        <v>6117666160</v>
      </c>
      <c r="B610" s="1">
        <v>42483</v>
      </c>
      <c r="C610">
        <v>11495</v>
      </c>
      <c r="D610">
        <v>8.6800003051757795</v>
      </c>
      <c r="E610">
        <v>0</v>
      </c>
      <c r="F610">
        <v>0</v>
      </c>
      <c r="G610">
        <v>512</v>
      </c>
      <c r="H610">
        <v>2651</v>
      </c>
      <c r="Q610" s="2"/>
      <c r="V610" s="2"/>
      <c r="Z610" s="2"/>
      <c r="AA610" s="2"/>
      <c r="AB610" s="2"/>
    </row>
    <row r="611" spans="1:28" x14ac:dyDescent="0.25">
      <c r="A611">
        <v>6117666160</v>
      </c>
      <c r="B611" s="1">
        <v>42484</v>
      </c>
      <c r="C611">
        <v>7623</v>
      </c>
      <c r="D611">
        <v>5.7600002288818404</v>
      </c>
      <c r="E611">
        <v>0</v>
      </c>
      <c r="F611">
        <v>0</v>
      </c>
      <c r="G611">
        <v>362</v>
      </c>
      <c r="H611">
        <v>2305</v>
      </c>
      <c r="Q611" s="2"/>
      <c r="V611" s="2"/>
      <c r="Z611" s="2"/>
      <c r="AA611" s="2"/>
      <c r="AB611" s="2"/>
    </row>
    <row r="612" spans="1:28" x14ac:dyDescent="0.25">
      <c r="A612">
        <v>6117666160</v>
      </c>
      <c r="B612" s="1">
        <v>42485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1497</v>
      </c>
      <c r="Q612" s="2"/>
      <c r="V612" s="2"/>
      <c r="Z612" s="2"/>
      <c r="AA612" s="2"/>
      <c r="AB612" s="2"/>
    </row>
    <row r="613" spans="1:28" x14ac:dyDescent="0.25">
      <c r="A613">
        <v>6117666160</v>
      </c>
      <c r="B613" s="1">
        <v>42486</v>
      </c>
      <c r="C613">
        <v>9543</v>
      </c>
      <c r="D613">
        <v>7.21000003814697</v>
      </c>
      <c r="E613">
        <v>0</v>
      </c>
      <c r="F613">
        <v>7</v>
      </c>
      <c r="G613">
        <v>352</v>
      </c>
      <c r="H613">
        <v>2450</v>
      </c>
      <c r="Q613" s="2"/>
      <c r="V613" s="2"/>
      <c r="Z613" s="2"/>
      <c r="AA613" s="2"/>
      <c r="AB613" s="2"/>
    </row>
    <row r="614" spans="1:28" x14ac:dyDescent="0.25">
      <c r="A614">
        <v>6117666160</v>
      </c>
      <c r="B614" s="1">
        <v>42487</v>
      </c>
      <c r="C614">
        <v>9411</v>
      </c>
      <c r="D614">
        <v>7.1100001335143999</v>
      </c>
      <c r="E614">
        <v>0</v>
      </c>
      <c r="F614">
        <v>0</v>
      </c>
      <c r="G614">
        <v>458</v>
      </c>
      <c r="H614">
        <v>2576</v>
      </c>
      <c r="Q614" s="2"/>
      <c r="V614" s="2"/>
      <c r="Z614" s="2"/>
      <c r="AA614" s="2"/>
      <c r="AB614" s="2"/>
    </row>
    <row r="615" spans="1:28" x14ac:dyDescent="0.25">
      <c r="A615">
        <v>6117666160</v>
      </c>
      <c r="B615" s="1">
        <v>42488</v>
      </c>
      <c r="C615">
        <v>3403</v>
      </c>
      <c r="D615">
        <v>2.5999999046325701</v>
      </c>
      <c r="E615">
        <v>0</v>
      </c>
      <c r="F615">
        <v>0</v>
      </c>
      <c r="G615">
        <v>141</v>
      </c>
      <c r="H615">
        <v>1879</v>
      </c>
      <c r="Q615" s="2"/>
      <c r="V615" s="2"/>
      <c r="Z615" s="2"/>
      <c r="AA615" s="2"/>
      <c r="AB615" s="2"/>
    </row>
    <row r="616" spans="1:28" x14ac:dyDescent="0.25">
      <c r="A616">
        <v>6117666160</v>
      </c>
      <c r="B616" s="1">
        <v>42489</v>
      </c>
      <c r="C616">
        <v>9592</v>
      </c>
      <c r="D616">
        <v>7.2399997711181596</v>
      </c>
      <c r="E616">
        <v>0</v>
      </c>
      <c r="F616">
        <v>0</v>
      </c>
      <c r="G616">
        <v>461</v>
      </c>
      <c r="H616">
        <v>2560</v>
      </c>
      <c r="Q616" s="2"/>
      <c r="V616" s="2"/>
      <c r="Z616" s="2"/>
      <c r="AA616" s="2"/>
      <c r="AB616" s="2"/>
    </row>
    <row r="617" spans="1:28" x14ac:dyDescent="0.25">
      <c r="A617">
        <v>6117666160</v>
      </c>
      <c r="B617" s="1">
        <v>42490</v>
      </c>
      <c r="C617">
        <v>6987</v>
      </c>
      <c r="D617">
        <v>5.2800002098083496</v>
      </c>
      <c r="E617">
        <v>0</v>
      </c>
      <c r="F617">
        <v>0</v>
      </c>
      <c r="G617">
        <v>343</v>
      </c>
      <c r="H617">
        <v>2275</v>
      </c>
      <c r="Q617" s="2"/>
      <c r="V617" s="2"/>
      <c r="Z617" s="2"/>
      <c r="AA617" s="2"/>
      <c r="AB617" s="2"/>
    </row>
    <row r="618" spans="1:28" x14ac:dyDescent="0.25">
      <c r="A618">
        <v>6117666160</v>
      </c>
      <c r="B618" s="1">
        <v>42491</v>
      </c>
      <c r="C618">
        <v>8915</v>
      </c>
      <c r="D618">
        <v>6.7300000190734899</v>
      </c>
      <c r="E618">
        <v>0</v>
      </c>
      <c r="F618">
        <v>0</v>
      </c>
      <c r="G618">
        <v>397</v>
      </c>
      <c r="H618">
        <v>2361</v>
      </c>
      <c r="Q618" s="2"/>
      <c r="V618" s="2"/>
      <c r="Z618" s="2"/>
      <c r="AA618" s="2"/>
      <c r="AB618" s="2"/>
    </row>
    <row r="619" spans="1:28" x14ac:dyDescent="0.25">
      <c r="A619">
        <v>6117666160</v>
      </c>
      <c r="B619" s="1">
        <v>42492</v>
      </c>
      <c r="C619">
        <v>4933</v>
      </c>
      <c r="D619">
        <v>3.7300000190734899</v>
      </c>
      <c r="E619">
        <v>0</v>
      </c>
      <c r="F619">
        <v>0</v>
      </c>
      <c r="G619">
        <v>236</v>
      </c>
      <c r="H619">
        <v>2044</v>
      </c>
      <c r="Q619" s="2"/>
      <c r="V619" s="2"/>
      <c r="Z619" s="2"/>
      <c r="AA619" s="2"/>
      <c r="AB619" s="2"/>
    </row>
    <row r="620" spans="1:28" x14ac:dyDescent="0.25">
      <c r="A620">
        <v>6117666160</v>
      </c>
      <c r="B620" s="1">
        <v>42493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1496</v>
      </c>
      <c r="Q620" s="2"/>
      <c r="V620" s="2"/>
      <c r="Z620" s="2"/>
      <c r="AA620" s="2"/>
      <c r="AB620" s="2"/>
    </row>
    <row r="621" spans="1:28" x14ac:dyDescent="0.25">
      <c r="A621">
        <v>6117666160</v>
      </c>
      <c r="B621" s="1">
        <v>42494</v>
      </c>
      <c r="C621">
        <v>2997</v>
      </c>
      <c r="D621">
        <v>2.2599999904632599</v>
      </c>
      <c r="E621">
        <v>0</v>
      </c>
      <c r="F621">
        <v>0</v>
      </c>
      <c r="G621">
        <v>156</v>
      </c>
      <c r="H621">
        <v>1902</v>
      </c>
      <c r="Q621" s="2"/>
      <c r="V621" s="2"/>
      <c r="Z621" s="2"/>
      <c r="AA621" s="2"/>
      <c r="AB621" s="2"/>
    </row>
    <row r="622" spans="1:28" x14ac:dyDescent="0.25">
      <c r="A622">
        <v>6117666160</v>
      </c>
      <c r="B622" s="1">
        <v>42495</v>
      </c>
      <c r="C622">
        <v>9799</v>
      </c>
      <c r="D622">
        <v>7.4000000953674299</v>
      </c>
      <c r="E622">
        <v>0</v>
      </c>
      <c r="F622">
        <v>0</v>
      </c>
      <c r="G622">
        <v>487</v>
      </c>
      <c r="H622">
        <v>2636</v>
      </c>
      <c r="Q622" s="2"/>
      <c r="V622" s="2"/>
      <c r="Z622" s="2"/>
      <c r="AA622" s="2"/>
      <c r="AB622" s="2"/>
    </row>
    <row r="623" spans="1:28" x14ac:dyDescent="0.25">
      <c r="A623">
        <v>6117666160</v>
      </c>
      <c r="B623" s="1">
        <v>42496</v>
      </c>
      <c r="C623">
        <v>3365</v>
      </c>
      <c r="D623">
        <v>2.6800000667571999</v>
      </c>
      <c r="E623">
        <v>0</v>
      </c>
      <c r="F623">
        <v>0</v>
      </c>
      <c r="G623">
        <v>133</v>
      </c>
      <c r="H623">
        <v>1838</v>
      </c>
      <c r="Q623" s="2"/>
      <c r="V623" s="2"/>
      <c r="Z623" s="2"/>
      <c r="AA623" s="2"/>
      <c r="AB623" s="2"/>
    </row>
    <row r="624" spans="1:28" x14ac:dyDescent="0.25">
      <c r="A624">
        <v>6117666160</v>
      </c>
      <c r="B624" s="1">
        <v>42497</v>
      </c>
      <c r="C624">
        <v>7336</v>
      </c>
      <c r="D624">
        <v>5.53999996185303</v>
      </c>
      <c r="E624">
        <v>0</v>
      </c>
      <c r="F624">
        <v>0</v>
      </c>
      <c r="G624">
        <v>412</v>
      </c>
      <c r="H624">
        <v>2469</v>
      </c>
      <c r="Q624" s="2"/>
      <c r="V624" s="2"/>
      <c r="Z624" s="2"/>
      <c r="AA624" s="2"/>
      <c r="AB624" s="2"/>
    </row>
    <row r="625" spans="1:28" x14ac:dyDescent="0.25">
      <c r="A625">
        <v>6117666160</v>
      </c>
      <c r="B625" s="1">
        <v>42498</v>
      </c>
      <c r="C625">
        <v>7328</v>
      </c>
      <c r="D625">
        <v>5.5300002098083496</v>
      </c>
      <c r="E625">
        <v>0</v>
      </c>
      <c r="F625">
        <v>0</v>
      </c>
      <c r="G625">
        <v>318</v>
      </c>
      <c r="H625">
        <v>2250</v>
      </c>
      <c r="Q625" s="2"/>
      <c r="V625" s="2"/>
      <c r="Z625" s="2"/>
      <c r="AA625" s="2"/>
      <c r="AB625" s="2"/>
    </row>
    <row r="626" spans="1:28" x14ac:dyDescent="0.25">
      <c r="A626">
        <v>6117666160</v>
      </c>
      <c r="B626" s="1">
        <v>42499</v>
      </c>
      <c r="C626">
        <v>4477</v>
      </c>
      <c r="D626">
        <v>3.3800001144409202</v>
      </c>
      <c r="E626">
        <v>0</v>
      </c>
      <c r="F626">
        <v>0</v>
      </c>
      <c r="G626">
        <v>197</v>
      </c>
      <c r="H626">
        <v>1248</v>
      </c>
      <c r="Q626" s="2"/>
      <c r="V626" s="2"/>
      <c r="Z626" s="2"/>
      <c r="AA626" s="2"/>
      <c r="AB626" s="2"/>
    </row>
    <row r="627" spans="1:28" x14ac:dyDescent="0.25">
      <c r="A627">
        <v>6290855005</v>
      </c>
      <c r="B627" s="1">
        <v>42472</v>
      </c>
      <c r="C627">
        <v>4562</v>
      </c>
      <c r="D627">
        <v>3.4500000476837198</v>
      </c>
      <c r="E627">
        <v>0</v>
      </c>
      <c r="F627">
        <v>0</v>
      </c>
      <c r="G627">
        <v>199</v>
      </c>
      <c r="H627">
        <v>2560</v>
      </c>
      <c r="Q627" s="2"/>
      <c r="V627" s="2"/>
      <c r="Z627" s="2"/>
      <c r="AA627" s="2"/>
      <c r="AB627" s="2"/>
    </row>
    <row r="628" spans="1:28" x14ac:dyDescent="0.25">
      <c r="A628">
        <v>6290855005</v>
      </c>
      <c r="B628" s="1">
        <v>42473</v>
      </c>
      <c r="C628">
        <v>7142</v>
      </c>
      <c r="D628">
        <v>5.4000000953674299</v>
      </c>
      <c r="E628">
        <v>0</v>
      </c>
      <c r="F628">
        <v>0</v>
      </c>
      <c r="G628">
        <v>350</v>
      </c>
      <c r="H628">
        <v>2905</v>
      </c>
      <c r="Q628" s="2"/>
      <c r="V628" s="2"/>
      <c r="Z628" s="2"/>
      <c r="AA628" s="2"/>
      <c r="AB628" s="2"/>
    </row>
    <row r="629" spans="1:28" x14ac:dyDescent="0.25">
      <c r="A629">
        <v>6290855005</v>
      </c>
      <c r="B629" s="1">
        <v>42474</v>
      </c>
      <c r="C629">
        <v>7671</v>
      </c>
      <c r="D629">
        <v>5.8000001907348597</v>
      </c>
      <c r="E629">
        <v>0</v>
      </c>
      <c r="F629">
        <v>0</v>
      </c>
      <c r="G629">
        <v>363</v>
      </c>
      <c r="H629">
        <v>2952</v>
      </c>
      <c r="Q629" s="2"/>
      <c r="V629" s="2"/>
      <c r="Z629" s="2"/>
      <c r="AA629" s="2"/>
      <c r="AB629" s="2"/>
    </row>
    <row r="630" spans="1:28" x14ac:dyDescent="0.25">
      <c r="A630">
        <v>6290855005</v>
      </c>
      <c r="B630" s="1">
        <v>42475</v>
      </c>
      <c r="C630">
        <v>9501</v>
      </c>
      <c r="D630">
        <v>7.1799998283386204</v>
      </c>
      <c r="E630">
        <v>0</v>
      </c>
      <c r="F630">
        <v>0</v>
      </c>
      <c r="G630">
        <v>328</v>
      </c>
      <c r="H630">
        <v>2896</v>
      </c>
      <c r="Q630" s="2"/>
      <c r="V630" s="2"/>
      <c r="Z630" s="2"/>
      <c r="AA630" s="2"/>
      <c r="AB630" s="2"/>
    </row>
    <row r="631" spans="1:28" x14ac:dyDescent="0.25">
      <c r="A631">
        <v>6290855005</v>
      </c>
      <c r="B631" s="1">
        <v>42476</v>
      </c>
      <c r="C631">
        <v>8301</v>
      </c>
      <c r="D631">
        <v>6.2800002098083496</v>
      </c>
      <c r="E631">
        <v>0</v>
      </c>
      <c r="F631">
        <v>0</v>
      </c>
      <c r="G631">
        <v>258</v>
      </c>
      <c r="H631">
        <v>2783</v>
      </c>
      <c r="Q631" s="2"/>
      <c r="V631" s="2"/>
      <c r="Z631" s="2"/>
      <c r="AA631" s="2"/>
      <c r="AB631" s="2"/>
    </row>
    <row r="632" spans="1:28" x14ac:dyDescent="0.25">
      <c r="A632">
        <v>6290855005</v>
      </c>
      <c r="B632" s="1">
        <v>42477</v>
      </c>
      <c r="C632">
        <v>7851</v>
      </c>
      <c r="D632">
        <v>5.9400000572204599</v>
      </c>
      <c r="E632">
        <v>31</v>
      </c>
      <c r="F632">
        <v>12</v>
      </c>
      <c r="G632">
        <v>225</v>
      </c>
      <c r="H632">
        <v>3171</v>
      </c>
      <c r="Q632" s="2"/>
      <c r="V632" s="2"/>
      <c r="Z632" s="2"/>
      <c r="AA632" s="2"/>
      <c r="AB632" s="2"/>
    </row>
    <row r="633" spans="1:28" x14ac:dyDescent="0.25">
      <c r="A633">
        <v>6290855005</v>
      </c>
      <c r="B633" s="1">
        <v>42478</v>
      </c>
      <c r="C633">
        <v>6885</v>
      </c>
      <c r="D633">
        <v>5.21000003814697</v>
      </c>
      <c r="E633">
        <v>0</v>
      </c>
      <c r="F633">
        <v>0</v>
      </c>
      <c r="G633">
        <v>271</v>
      </c>
      <c r="H633">
        <v>2766</v>
      </c>
      <c r="Q633" s="2"/>
      <c r="V633" s="2"/>
      <c r="Z633" s="2"/>
      <c r="AA633" s="2"/>
      <c r="AB633" s="2"/>
    </row>
    <row r="634" spans="1:28" x14ac:dyDescent="0.25">
      <c r="A634">
        <v>6290855005</v>
      </c>
      <c r="B634" s="1">
        <v>42479</v>
      </c>
      <c r="C634">
        <v>7142</v>
      </c>
      <c r="D634">
        <v>5.4000000953674299</v>
      </c>
      <c r="E634">
        <v>0</v>
      </c>
      <c r="F634">
        <v>0</v>
      </c>
      <c r="G634">
        <v>321</v>
      </c>
      <c r="H634">
        <v>2839</v>
      </c>
      <c r="Q634" s="2"/>
      <c r="V634" s="2"/>
      <c r="Z634" s="2"/>
      <c r="AA634" s="2"/>
      <c r="AB634" s="2"/>
    </row>
    <row r="635" spans="1:28" x14ac:dyDescent="0.25">
      <c r="A635">
        <v>6290855005</v>
      </c>
      <c r="B635" s="1">
        <v>42480</v>
      </c>
      <c r="C635">
        <v>6361</v>
      </c>
      <c r="D635">
        <v>4.8099999427795401</v>
      </c>
      <c r="E635">
        <v>0</v>
      </c>
      <c r="F635">
        <v>0</v>
      </c>
      <c r="G635">
        <v>258</v>
      </c>
      <c r="H635">
        <v>2701</v>
      </c>
      <c r="Q635" s="2"/>
      <c r="V635" s="2"/>
      <c r="Z635" s="2"/>
      <c r="AA635" s="2"/>
      <c r="AB635" s="2"/>
    </row>
    <row r="636" spans="1:28" x14ac:dyDescent="0.25">
      <c r="A636">
        <v>6290855005</v>
      </c>
      <c r="B636" s="1">
        <v>42481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2060</v>
      </c>
      <c r="Q636" s="2"/>
      <c r="V636" s="2"/>
      <c r="Z636" s="2"/>
      <c r="AA636" s="2"/>
      <c r="AB636" s="2"/>
    </row>
    <row r="637" spans="1:28" x14ac:dyDescent="0.25">
      <c r="A637">
        <v>6290855005</v>
      </c>
      <c r="B637" s="1">
        <v>42482</v>
      </c>
      <c r="C637">
        <v>6238</v>
      </c>
      <c r="D637">
        <v>4.7199997901916504</v>
      </c>
      <c r="E637">
        <v>0</v>
      </c>
      <c r="F637">
        <v>0</v>
      </c>
      <c r="G637">
        <v>302</v>
      </c>
      <c r="H637">
        <v>2796</v>
      </c>
      <c r="Q637" s="2"/>
      <c r="V637" s="2"/>
      <c r="Z637" s="2"/>
      <c r="AA637" s="2"/>
      <c r="AB637" s="2"/>
    </row>
    <row r="638" spans="1:28" x14ac:dyDescent="0.25">
      <c r="A638">
        <v>6290855005</v>
      </c>
      <c r="B638" s="1">
        <v>42483</v>
      </c>
      <c r="C638">
        <v>0</v>
      </c>
      <c r="D638">
        <v>0</v>
      </c>
      <c r="E638">
        <v>33</v>
      </c>
      <c r="F638">
        <v>0</v>
      </c>
      <c r="G638">
        <v>0</v>
      </c>
      <c r="H638">
        <v>2664</v>
      </c>
      <c r="Q638" s="2"/>
      <c r="V638" s="2"/>
      <c r="Z638" s="2"/>
      <c r="AA638" s="2"/>
      <c r="AB638" s="2"/>
    </row>
    <row r="639" spans="1:28" x14ac:dyDescent="0.25">
      <c r="A639">
        <v>6290855005</v>
      </c>
      <c r="B639" s="1">
        <v>42484</v>
      </c>
      <c r="C639">
        <v>5896</v>
      </c>
      <c r="D639">
        <v>4.46000003814697</v>
      </c>
      <c r="E639">
        <v>0</v>
      </c>
      <c r="F639">
        <v>0</v>
      </c>
      <c r="G639">
        <v>258</v>
      </c>
      <c r="H639">
        <v>2703</v>
      </c>
      <c r="Q639" s="2"/>
      <c r="V639" s="2"/>
      <c r="Z639" s="2"/>
      <c r="AA639" s="2"/>
      <c r="AB639" s="2"/>
    </row>
    <row r="640" spans="1:28" x14ac:dyDescent="0.25">
      <c r="A640">
        <v>6290855005</v>
      </c>
      <c r="B640" s="1">
        <v>42485</v>
      </c>
      <c r="C640">
        <v>7802</v>
      </c>
      <c r="D640">
        <v>5.9000000953674299</v>
      </c>
      <c r="E640">
        <v>8</v>
      </c>
      <c r="F640">
        <v>3</v>
      </c>
      <c r="G640">
        <v>249</v>
      </c>
      <c r="H640">
        <v>2771</v>
      </c>
      <c r="Q640" s="2"/>
      <c r="V640" s="2"/>
      <c r="Z640" s="2"/>
      <c r="AA640" s="2"/>
      <c r="AB640" s="2"/>
    </row>
    <row r="641" spans="1:28" x14ac:dyDescent="0.25">
      <c r="A641">
        <v>6290855005</v>
      </c>
      <c r="B641" s="1">
        <v>42486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2060</v>
      </c>
      <c r="Q641" s="2"/>
      <c r="V641" s="2"/>
      <c r="Z641" s="2"/>
      <c r="AA641" s="2"/>
      <c r="AB641" s="2"/>
    </row>
    <row r="642" spans="1:28" x14ac:dyDescent="0.25">
      <c r="A642">
        <v>6290855005</v>
      </c>
      <c r="B642" s="1">
        <v>42487</v>
      </c>
      <c r="C642">
        <v>5565</v>
      </c>
      <c r="D642">
        <v>4.21000003814697</v>
      </c>
      <c r="E642">
        <v>0</v>
      </c>
      <c r="F642">
        <v>0</v>
      </c>
      <c r="G642">
        <v>287</v>
      </c>
      <c r="H642">
        <v>2743</v>
      </c>
      <c r="Q642" s="2"/>
      <c r="V642" s="2"/>
      <c r="Z642" s="2"/>
      <c r="AA642" s="2"/>
      <c r="AB642" s="2"/>
    </row>
    <row r="643" spans="1:28" x14ac:dyDescent="0.25">
      <c r="A643">
        <v>6290855005</v>
      </c>
      <c r="B643" s="1">
        <v>42488</v>
      </c>
      <c r="C643">
        <v>5731</v>
      </c>
      <c r="D643">
        <v>4.3299999237060502</v>
      </c>
      <c r="E643">
        <v>0</v>
      </c>
      <c r="F643">
        <v>0</v>
      </c>
      <c r="G643">
        <v>255</v>
      </c>
      <c r="H643">
        <v>2687</v>
      </c>
      <c r="Q643" s="2"/>
      <c r="V643" s="2"/>
      <c r="Z643" s="2"/>
      <c r="AA643" s="2"/>
      <c r="AB643" s="2"/>
    </row>
    <row r="644" spans="1:28" x14ac:dyDescent="0.25">
      <c r="A644">
        <v>6290855005</v>
      </c>
      <c r="B644" s="1">
        <v>42489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2060</v>
      </c>
      <c r="Q644" s="2"/>
      <c r="V644" s="2"/>
      <c r="Z644" s="2"/>
      <c r="AA644" s="2"/>
      <c r="AB644" s="2"/>
    </row>
    <row r="645" spans="1:28" x14ac:dyDescent="0.25">
      <c r="A645">
        <v>6290855005</v>
      </c>
      <c r="B645" s="1">
        <v>42490</v>
      </c>
      <c r="C645">
        <v>6744</v>
      </c>
      <c r="D645">
        <v>5.0999999046325701</v>
      </c>
      <c r="E645">
        <v>0</v>
      </c>
      <c r="F645">
        <v>0</v>
      </c>
      <c r="G645">
        <v>324</v>
      </c>
      <c r="H645">
        <v>2843</v>
      </c>
      <c r="Q645" s="2"/>
      <c r="V645" s="2"/>
      <c r="Z645" s="2"/>
      <c r="AA645" s="2"/>
      <c r="AB645" s="2"/>
    </row>
    <row r="646" spans="1:28" x14ac:dyDescent="0.25">
      <c r="A646">
        <v>6290855005</v>
      </c>
      <c r="B646" s="1">
        <v>42491</v>
      </c>
      <c r="C646">
        <v>9837</v>
      </c>
      <c r="D646">
        <v>7.4400000572204599</v>
      </c>
      <c r="E646">
        <v>8</v>
      </c>
      <c r="F646">
        <v>95</v>
      </c>
      <c r="G646">
        <v>282</v>
      </c>
      <c r="H646">
        <v>3327</v>
      </c>
      <c r="Q646" s="2"/>
      <c r="V646" s="2"/>
      <c r="Z646" s="2"/>
      <c r="AA646" s="2"/>
      <c r="AB646" s="2"/>
    </row>
    <row r="647" spans="1:28" x14ac:dyDescent="0.25">
      <c r="A647">
        <v>6290855005</v>
      </c>
      <c r="B647" s="1">
        <v>42492</v>
      </c>
      <c r="C647">
        <v>6781</v>
      </c>
      <c r="D647">
        <v>5.1300001144409197</v>
      </c>
      <c r="E647">
        <v>0</v>
      </c>
      <c r="F647">
        <v>0</v>
      </c>
      <c r="G647">
        <v>268</v>
      </c>
      <c r="H647">
        <v>2725</v>
      </c>
      <c r="Q647" s="2"/>
      <c r="V647" s="2"/>
      <c r="Z647" s="2"/>
      <c r="AA647" s="2"/>
      <c r="AB647" s="2"/>
    </row>
    <row r="648" spans="1:28" x14ac:dyDescent="0.25">
      <c r="A648">
        <v>6290855005</v>
      </c>
      <c r="B648" s="1">
        <v>42493</v>
      </c>
      <c r="C648">
        <v>6047</v>
      </c>
      <c r="D648">
        <v>4.5700001716613796</v>
      </c>
      <c r="E648">
        <v>0</v>
      </c>
      <c r="F648">
        <v>0</v>
      </c>
      <c r="G648">
        <v>240</v>
      </c>
      <c r="H648">
        <v>2671</v>
      </c>
      <c r="Q648" s="2"/>
      <c r="V648" s="2"/>
      <c r="Z648" s="2"/>
      <c r="AA648" s="2"/>
      <c r="AB648" s="2"/>
    </row>
    <row r="649" spans="1:28" x14ac:dyDescent="0.25">
      <c r="A649">
        <v>6290855005</v>
      </c>
      <c r="B649" s="1">
        <v>42494</v>
      </c>
      <c r="C649">
        <v>5832</v>
      </c>
      <c r="D649">
        <v>4.4099998474121103</v>
      </c>
      <c r="E649">
        <v>0</v>
      </c>
      <c r="F649">
        <v>0</v>
      </c>
      <c r="G649">
        <v>272</v>
      </c>
      <c r="H649">
        <v>2718</v>
      </c>
      <c r="Q649" s="2"/>
      <c r="V649" s="2"/>
      <c r="Z649" s="2"/>
      <c r="AA649" s="2"/>
      <c r="AB649" s="2"/>
    </row>
    <row r="650" spans="1:28" x14ac:dyDescent="0.25">
      <c r="A650">
        <v>6290855005</v>
      </c>
      <c r="B650" s="1">
        <v>42495</v>
      </c>
      <c r="C650">
        <v>6339</v>
      </c>
      <c r="D650">
        <v>4.78999996185303</v>
      </c>
      <c r="E650">
        <v>0</v>
      </c>
      <c r="F650">
        <v>0</v>
      </c>
      <c r="G650">
        <v>239</v>
      </c>
      <c r="H650">
        <v>2682</v>
      </c>
      <c r="Q650" s="2"/>
      <c r="V650" s="2"/>
      <c r="Z650" s="2"/>
      <c r="AA650" s="2"/>
      <c r="AB650" s="2"/>
    </row>
    <row r="651" spans="1:28" x14ac:dyDescent="0.25">
      <c r="A651">
        <v>6290855005</v>
      </c>
      <c r="B651" s="1">
        <v>42496</v>
      </c>
      <c r="C651">
        <v>6116</v>
      </c>
      <c r="D651">
        <v>4.6199998855590803</v>
      </c>
      <c r="E651">
        <v>0</v>
      </c>
      <c r="F651">
        <v>0</v>
      </c>
      <c r="G651">
        <v>305</v>
      </c>
      <c r="H651">
        <v>2806</v>
      </c>
      <c r="Q651" s="2"/>
      <c r="V651" s="2"/>
      <c r="Z651" s="2"/>
      <c r="AA651" s="2"/>
      <c r="AB651" s="2"/>
    </row>
    <row r="652" spans="1:28" x14ac:dyDescent="0.25">
      <c r="A652">
        <v>6290855005</v>
      </c>
      <c r="B652" s="1">
        <v>42497</v>
      </c>
      <c r="C652">
        <v>5510</v>
      </c>
      <c r="D652">
        <v>4.1700000762939498</v>
      </c>
      <c r="E652">
        <v>0</v>
      </c>
      <c r="F652">
        <v>0</v>
      </c>
      <c r="G652">
        <v>227</v>
      </c>
      <c r="H652">
        <v>2613</v>
      </c>
      <c r="Q652" s="2"/>
      <c r="V652" s="2"/>
      <c r="Z652" s="2"/>
      <c r="AA652" s="2"/>
      <c r="AB652" s="2"/>
    </row>
    <row r="653" spans="1:28" x14ac:dyDescent="0.25">
      <c r="A653">
        <v>6290855005</v>
      </c>
      <c r="B653" s="1">
        <v>42498</v>
      </c>
      <c r="C653">
        <v>7706</v>
      </c>
      <c r="D653">
        <v>5.8299999237060502</v>
      </c>
      <c r="E653">
        <v>0</v>
      </c>
      <c r="F653">
        <v>0</v>
      </c>
      <c r="G653">
        <v>251</v>
      </c>
      <c r="H653">
        <v>2712</v>
      </c>
      <c r="Q653" s="2"/>
      <c r="V653" s="2"/>
      <c r="Z653" s="2"/>
      <c r="AA653" s="2"/>
      <c r="AB653" s="2"/>
    </row>
    <row r="654" spans="1:28" x14ac:dyDescent="0.25">
      <c r="A654">
        <v>6290855005</v>
      </c>
      <c r="B654" s="1">
        <v>42499</v>
      </c>
      <c r="C654">
        <v>6277</v>
      </c>
      <c r="D654">
        <v>4.75</v>
      </c>
      <c r="E654">
        <v>0</v>
      </c>
      <c r="F654">
        <v>0</v>
      </c>
      <c r="G654">
        <v>264</v>
      </c>
      <c r="H654">
        <v>2175</v>
      </c>
      <c r="Q654" s="2"/>
      <c r="V654" s="2"/>
      <c r="Z654" s="2"/>
      <c r="AA654" s="2"/>
      <c r="AB654" s="2"/>
    </row>
    <row r="655" spans="1:28" x14ac:dyDescent="0.25">
      <c r="A655">
        <v>6290855005</v>
      </c>
      <c r="B655" s="1">
        <v>42500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Q655" s="2"/>
      <c r="V655" s="2"/>
      <c r="Z655" s="2"/>
      <c r="AA655" s="2"/>
      <c r="AB655" s="2"/>
    </row>
    <row r="656" spans="1:28" x14ac:dyDescent="0.25">
      <c r="A656">
        <v>6775888955</v>
      </c>
      <c r="B656" s="1">
        <v>42472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1841</v>
      </c>
      <c r="Q656" s="2"/>
      <c r="V656" s="2"/>
      <c r="Z656" s="2"/>
      <c r="AA656" s="2"/>
      <c r="AB656" s="2"/>
    </row>
    <row r="657" spans="1:28" x14ac:dyDescent="0.25">
      <c r="A657">
        <v>6775888955</v>
      </c>
      <c r="B657" s="1">
        <v>42473</v>
      </c>
      <c r="C657">
        <v>4053</v>
      </c>
      <c r="D657">
        <v>2.9100000858306898</v>
      </c>
      <c r="E657">
        <v>17</v>
      </c>
      <c r="F657">
        <v>18</v>
      </c>
      <c r="G657">
        <v>85</v>
      </c>
      <c r="H657">
        <v>2400</v>
      </c>
      <c r="Q657" s="2"/>
      <c r="V657" s="2"/>
      <c r="Z657" s="2"/>
      <c r="AA657" s="2"/>
      <c r="AB657" s="2"/>
    </row>
    <row r="658" spans="1:28" x14ac:dyDescent="0.25">
      <c r="A658">
        <v>6775888955</v>
      </c>
      <c r="B658" s="1">
        <v>42474</v>
      </c>
      <c r="C658">
        <v>5162</v>
      </c>
      <c r="D658">
        <v>3.7000000476837198</v>
      </c>
      <c r="E658">
        <v>14</v>
      </c>
      <c r="F658">
        <v>24</v>
      </c>
      <c r="G658">
        <v>105</v>
      </c>
      <c r="H658">
        <v>2507</v>
      </c>
      <c r="Q658" s="2"/>
      <c r="V658" s="2"/>
      <c r="Z658" s="2"/>
      <c r="AA658" s="2"/>
      <c r="AB658" s="2"/>
    </row>
    <row r="659" spans="1:28" x14ac:dyDescent="0.25">
      <c r="A659">
        <v>6775888955</v>
      </c>
      <c r="B659" s="1">
        <v>42475</v>
      </c>
      <c r="C659">
        <v>1282</v>
      </c>
      <c r="D659">
        <v>0.92000001668930098</v>
      </c>
      <c r="E659">
        <v>0</v>
      </c>
      <c r="F659">
        <v>0</v>
      </c>
      <c r="G659">
        <v>58</v>
      </c>
      <c r="H659">
        <v>2127</v>
      </c>
      <c r="Q659" s="2"/>
      <c r="V659" s="2"/>
      <c r="Z659" s="2"/>
      <c r="AA659" s="2"/>
      <c r="AB659" s="2"/>
    </row>
    <row r="660" spans="1:28" x14ac:dyDescent="0.25">
      <c r="A660">
        <v>6775888955</v>
      </c>
      <c r="B660" s="1">
        <v>42476</v>
      </c>
      <c r="C660">
        <v>4732</v>
      </c>
      <c r="D660">
        <v>3.3900001049041699</v>
      </c>
      <c r="E660">
        <v>36</v>
      </c>
      <c r="F660">
        <v>18</v>
      </c>
      <c r="G660">
        <v>9</v>
      </c>
      <c r="H660">
        <v>2225</v>
      </c>
      <c r="Q660" s="2"/>
      <c r="V660" s="2"/>
      <c r="Z660" s="2"/>
      <c r="AA660" s="2"/>
      <c r="AB660" s="2"/>
    </row>
    <row r="661" spans="1:28" x14ac:dyDescent="0.25">
      <c r="A661">
        <v>6775888955</v>
      </c>
      <c r="B661" s="1">
        <v>42477</v>
      </c>
      <c r="C661">
        <v>2497</v>
      </c>
      <c r="D661">
        <v>1.78999996185303</v>
      </c>
      <c r="E661">
        <v>5</v>
      </c>
      <c r="F661">
        <v>24</v>
      </c>
      <c r="G661">
        <v>19</v>
      </c>
      <c r="H661">
        <v>2067</v>
      </c>
      <c r="Q661" s="2"/>
      <c r="V661" s="2"/>
      <c r="Z661" s="2"/>
      <c r="AA661" s="2"/>
      <c r="AB661" s="2"/>
    </row>
    <row r="662" spans="1:28" x14ac:dyDescent="0.25">
      <c r="A662">
        <v>6775888955</v>
      </c>
      <c r="B662" s="1">
        <v>42478</v>
      </c>
      <c r="C662">
        <v>8294</v>
      </c>
      <c r="D662">
        <v>5.9499998092651403</v>
      </c>
      <c r="E662">
        <v>30</v>
      </c>
      <c r="F662">
        <v>31</v>
      </c>
      <c r="G662">
        <v>146</v>
      </c>
      <c r="H662">
        <v>2798</v>
      </c>
      <c r="Q662" s="2"/>
      <c r="V662" s="2"/>
      <c r="Z662" s="2"/>
      <c r="AA662" s="2"/>
      <c r="AB662" s="2"/>
    </row>
    <row r="663" spans="1:28" x14ac:dyDescent="0.25">
      <c r="A663">
        <v>6775888955</v>
      </c>
      <c r="B663" s="1">
        <v>42479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1841</v>
      </c>
      <c r="Q663" s="2"/>
      <c r="V663" s="2"/>
      <c r="Z663" s="2"/>
      <c r="AA663" s="2"/>
      <c r="AB663" s="2"/>
    </row>
    <row r="664" spans="1:28" x14ac:dyDescent="0.25">
      <c r="A664">
        <v>6775888955</v>
      </c>
      <c r="B664" s="1">
        <v>42480</v>
      </c>
      <c r="C664">
        <v>10771</v>
      </c>
      <c r="D664">
        <v>7.7199997901916504</v>
      </c>
      <c r="E664">
        <v>70</v>
      </c>
      <c r="F664">
        <v>113</v>
      </c>
      <c r="G664">
        <v>178</v>
      </c>
      <c r="H664">
        <v>3727</v>
      </c>
      <c r="Q664" s="2"/>
      <c r="V664" s="2"/>
      <c r="Z664" s="2"/>
      <c r="AA664" s="2"/>
      <c r="AB664" s="2"/>
    </row>
    <row r="665" spans="1:28" x14ac:dyDescent="0.25">
      <c r="A665">
        <v>6775888955</v>
      </c>
      <c r="B665" s="1">
        <v>42481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1841</v>
      </c>
      <c r="Q665" s="2"/>
      <c r="V665" s="2"/>
      <c r="Z665" s="2"/>
      <c r="AA665" s="2"/>
      <c r="AB665" s="2"/>
    </row>
    <row r="666" spans="1:28" x14ac:dyDescent="0.25">
      <c r="A666">
        <v>6775888955</v>
      </c>
      <c r="B666" s="1">
        <v>42482</v>
      </c>
      <c r="C666">
        <v>637</v>
      </c>
      <c r="D666">
        <v>0.46000000834464999</v>
      </c>
      <c r="E666">
        <v>0</v>
      </c>
      <c r="F666">
        <v>0</v>
      </c>
      <c r="G666">
        <v>20</v>
      </c>
      <c r="H666">
        <v>1922</v>
      </c>
      <c r="Q666" s="2"/>
      <c r="V666" s="2"/>
      <c r="Z666" s="2"/>
      <c r="AA666" s="2"/>
      <c r="AB666" s="2"/>
    </row>
    <row r="667" spans="1:28" x14ac:dyDescent="0.25">
      <c r="A667">
        <v>6775888955</v>
      </c>
      <c r="B667" s="1">
        <v>42483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1841</v>
      </c>
      <c r="Q667" s="2"/>
      <c r="V667" s="2"/>
      <c r="Z667" s="2"/>
      <c r="AA667" s="2"/>
      <c r="AB667" s="2"/>
    </row>
    <row r="668" spans="1:28" x14ac:dyDescent="0.25">
      <c r="A668">
        <v>6775888955</v>
      </c>
      <c r="B668" s="1">
        <v>42484</v>
      </c>
      <c r="C668">
        <v>2153</v>
      </c>
      <c r="D668">
        <v>1.53999996185303</v>
      </c>
      <c r="E668">
        <v>11</v>
      </c>
      <c r="F668">
        <v>18</v>
      </c>
      <c r="G668">
        <v>11</v>
      </c>
      <c r="H668">
        <v>2053</v>
      </c>
      <c r="Q668" s="2"/>
      <c r="V668" s="2"/>
      <c r="Z668" s="2"/>
      <c r="AA668" s="2"/>
      <c r="AB668" s="2"/>
    </row>
    <row r="669" spans="1:28" x14ac:dyDescent="0.25">
      <c r="A669">
        <v>6775888955</v>
      </c>
      <c r="B669" s="1">
        <v>42485</v>
      </c>
      <c r="C669">
        <v>6474</v>
      </c>
      <c r="D669">
        <v>4.6399998664856001</v>
      </c>
      <c r="E669">
        <v>33</v>
      </c>
      <c r="F669">
        <v>13</v>
      </c>
      <c r="G669">
        <v>92</v>
      </c>
      <c r="H669">
        <v>2484</v>
      </c>
      <c r="Q669" s="2"/>
      <c r="V669" s="2"/>
      <c r="Z669" s="2"/>
      <c r="AA669" s="2"/>
      <c r="AB669" s="2"/>
    </row>
    <row r="670" spans="1:28" x14ac:dyDescent="0.25">
      <c r="A670">
        <v>6775888955</v>
      </c>
      <c r="B670" s="1">
        <v>42486</v>
      </c>
      <c r="C670">
        <v>7091</v>
      </c>
      <c r="D670">
        <v>5.2699999809265101</v>
      </c>
      <c r="E670">
        <v>42</v>
      </c>
      <c r="F670">
        <v>30</v>
      </c>
      <c r="G670">
        <v>47</v>
      </c>
      <c r="H670">
        <v>2584</v>
      </c>
      <c r="Q670" s="2"/>
      <c r="V670" s="2"/>
      <c r="Z670" s="2"/>
      <c r="AA670" s="2"/>
      <c r="AB670" s="2"/>
    </row>
    <row r="671" spans="1:28" x14ac:dyDescent="0.25">
      <c r="A671">
        <v>6775888955</v>
      </c>
      <c r="B671" s="1">
        <v>42487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1841</v>
      </c>
      <c r="Q671" s="2"/>
      <c r="V671" s="2"/>
      <c r="Z671" s="2"/>
      <c r="AA671" s="2"/>
      <c r="AB671" s="2"/>
    </row>
    <row r="672" spans="1:28" x14ac:dyDescent="0.25">
      <c r="A672">
        <v>6775888955</v>
      </c>
      <c r="B672" s="1">
        <v>42488</v>
      </c>
      <c r="C672">
        <v>703</v>
      </c>
      <c r="D672">
        <v>0.5</v>
      </c>
      <c r="E672">
        <v>2</v>
      </c>
      <c r="F672">
        <v>13</v>
      </c>
      <c r="G672">
        <v>15</v>
      </c>
      <c r="H672">
        <v>1993</v>
      </c>
      <c r="Q672" s="2"/>
      <c r="V672" s="2"/>
      <c r="Z672" s="2"/>
      <c r="AA672" s="2"/>
      <c r="AB672" s="2"/>
    </row>
    <row r="673" spans="1:28" x14ac:dyDescent="0.25">
      <c r="A673">
        <v>6775888955</v>
      </c>
      <c r="B673" s="1">
        <v>42489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1841</v>
      </c>
      <c r="Q673" s="2"/>
      <c r="V673" s="2"/>
      <c r="Z673" s="2"/>
      <c r="AA673" s="2"/>
      <c r="AB673" s="2"/>
    </row>
    <row r="674" spans="1:28" x14ac:dyDescent="0.25">
      <c r="A674">
        <v>6775888955</v>
      </c>
      <c r="B674" s="1">
        <v>42490</v>
      </c>
      <c r="C674">
        <v>2503</v>
      </c>
      <c r="D674">
        <v>1.78999996185303</v>
      </c>
      <c r="E674">
        <v>3</v>
      </c>
      <c r="F674">
        <v>9</v>
      </c>
      <c r="G674">
        <v>84</v>
      </c>
      <c r="H674">
        <v>2280</v>
      </c>
      <c r="Q674" s="2"/>
      <c r="V674" s="2"/>
      <c r="Z674" s="2"/>
      <c r="AA674" s="2"/>
      <c r="AB674" s="2"/>
    </row>
    <row r="675" spans="1:28" x14ac:dyDescent="0.25">
      <c r="A675">
        <v>6775888955</v>
      </c>
      <c r="B675" s="1">
        <v>42491</v>
      </c>
      <c r="C675">
        <v>2487</v>
      </c>
      <c r="D675">
        <v>1.7799999713897701</v>
      </c>
      <c r="E675">
        <v>9</v>
      </c>
      <c r="F675">
        <v>34</v>
      </c>
      <c r="G675">
        <v>50</v>
      </c>
      <c r="H675">
        <v>2319</v>
      </c>
      <c r="Q675" s="2"/>
      <c r="V675" s="2"/>
      <c r="Z675" s="2"/>
      <c r="AA675" s="2"/>
      <c r="AB675" s="2"/>
    </row>
    <row r="676" spans="1:28" x14ac:dyDescent="0.25">
      <c r="A676">
        <v>6775888955</v>
      </c>
      <c r="B676" s="1">
        <v>42492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1841</v>
      </c>
      <c r="Q676" s="2"/>
      <c r="V676" s="2"/>
      <c r="Z676" s="2"/>
      <c r="AA676" s="2"/>
      <c r="AB676" s="2"/>
    </row>
    <row r="677" spans="1:28" x14ac:dyDescent="0.25">
      <c r="A677">
        <v>6775888955</v>
      </c>
      <c r="B677" s="1">
        <v>42493</v>
      </c>
      <c r="C677">
        <v>9</v>
      </c>
      <c r="D677">
        <v>9.9999997764825804E-3</v>
      </c>
      <c r="E677">
        <v>0</v>
      </c>
      <c r="F677">
        <v>0</v>
      </c>
      <c r="G677">
        <v>1</v>
      </c>
      <c r="H677">
        <v>1843</v>
      </c>
      <c r="Q677" s="2"/>
      <c r="V677" s="2"/>
      <c r="Z677" s="2"/>
      <c r="AA677" s="2"/>
      <c r="AB677" s="2"/>
    </row>
    <row r="678" spans="1:28" x14ac:dyDescent="0.25">
      <c r="A678">
        <v>6775888955</v>
      </c>
      <c r="B678" s="1">
        <v>42494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1841</v>
      </c>
      <c r="Q678" s="2"/>
      <c r="V678" s="2"/>
      <c r="Z678" s="2"/>
      <c r="AA678" s="2"/>
      <c r="AB678" s="2"/>
    </row>
    <row r="679" spans="1:28" x14ac:dyDescent="0.25">
      <c r="A679">
        <v>6775888955</v>
      </c>
      <c r="B679" s="1">
        <v>42495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1841</v>
      </c>
      <c r="Q679" s="2"/>
      <c r="V679" s="2"/>
      <c r="Z679" s="2"/>
      <c r="AA679" s="2"/>
      <c r="AB679" s="2"/>
    </row>
    <row r="680" spans="1:28" x14ac:dyDescent="0.25">
      <c r="A680">
        <v>6775888955</v>
      </c>
      <c r="B680" s="1">
        <v>42496</v>
      </c>
      <c r="C680">
        <v>4697</v>
      </c>
      <c r="D680">
        <v>3.3699998855590798</v>
      </c>
      <c r="E680">
        <v>12</v>
      </c>
      <c r="F680">
        <v>35</v>
      </c>
      <c r="G680">
        <v>75</v>
      </c>
      <c r="H680">
        <v>2496</v>
      </c>
      <c r="Q680" s="2"/>
      <c r="V680" s="2"/>
      <c r="Z680" s="2"/>
      <c r="AA680" s="2"/>
      <c r="AB680" s="2"/>
    </row>
    <row r="681" spans="1:28" x14ac:dyDescent="0.25">
      <c r="A681">
        <v>6775888955</v>
      </c>
      <c r="B681" s="1">
        <v>42497</v>
      </c>
      <c r="C681">
        <v>1967</v>
      </c>
      <c r="D681">
        <v>1.4099999666214</v>
      </c>
      <c r="E681">
        <v>2</v>
      </c>
      <c r="F681">
        <v>5</v>
      </c>
      <c r="G681">
        <v>49</v>
      </c>
      <c r="H681">
        <v>1032</v>
      </c>
      <c r="Q681" s="2"/>
      <c r="V681" s="2"/>
      <c r="Z681" s="2"/>
      <c r="AA681" s="2"/>
      <c r="AB681" s="2"/>
    </row>
    <row r="682" spans="1:28" x14ac:dyDescent="0.25">
      <c r="A682">
        <v>6962181067</v>
      </c>
      <c r="B682" s="1">
        <v>42472</v>
      </c>
      <c r="C682">
        <v>10199</v>
      </c>
      <c r="D682">
        <v>6.7399997711181596</v>
      </c>
      <c r="E682">
        <v>50</v>
      </c>
      <c r="F682">
        <v>14</v>
      </c>
      <c r="G682">
        <v>189</v>
      </c>
      <c r="H682">
        <v>1994</v>
      </c>
      <c r="Q682" s="2"/>
      <c r="V682" s="2"/>
      <c r="Z682" s="2"/>
      <c r="AA682" s="2"/>
      <c r="AB682" s="2"/>
    </row>
    <row r="683" spans="1:28" x14ac:dyDescent="0.25">
      <c r="A683">
        <v>6962181067</v>
      </c>
      <c r="B683" s="1">
        <v>42473</v>
      </c>
      <c r="C683">
        <v>5652</v>
      </c>
      <c r="D683">
        <v>3.7400000095367401</v>
      </c>
      <c r="E683">
        <v>8</v>
      </c>
      <c r="F683">
        <v>24</v>
      </c>
      <c r="G683">
        <v>142</v>
      </c>
      <c r="H683">
        <v>1718</v>
      </c>
      <c r="Q683" s="2"/>
      <c r="V683" s="2"/>
      <c r="Z683" s="2"/>
      <c r="AA683" s="2"/>
      <c r="AB683" s="2"/>
    </row>
    <row r="684" spans="1:28" x14ac:dyDescent="0.25">
      <c r="A684">
        <v>6962181067</v>
      </c>
      <c r="B684" s="1">
        <v>42474</v>
      </c>
      <c r="C684">
        <v>1551</v>
      </c>
      <c r="D684">
        <v>1.0299999713897701</v>
      </c>
      <c r="E684">
        <v>0</v>
      </c>
      <c r="F684">
        <v>0</v>
      </c>
      <c r="G684">
        <v>86</v>
      </c>
      <c r="H684">
        <v>1466</v>
      </c>
      <c r="Q684" s="2"/>
      <c r="V684" s="2"/>
      <c r="Z684" s="2"/>
      <c r="AA684" s="2"/>
      <c r="AB684" s="2"/>
    </row>
    <row r="685" spans="1:28" x14ac:dyDescent="0.25">
      <c r="A685">
        <v>6962181067</v>
      </c>
      <c r="B685" s="1">
        <v>42475</v>
      </c>
      <c r="C685">
        <v>5563</v>
      </c>
      <c r="D685">
        <v>3.6800000667571999</v>
      </c>
      <c r="E685">
        <v>0</v>
      </c>
      <c r="F685">
        <v>0</v>
      </c>
      <c r="G685">
        <v>217</v>
      </c>
      <c r="H685">
        <v>1756</v>
      </c>
      <c r="Q685" s="2"/>
      <c r="V685" s="2"/>
      <c r="Z685" s="2"/>
      <c r="AA685" s="2"/>
      <c r="AB685" s="2"/>
    </row>
    <row r="686" spans="1:28" x14ac:dyDescent="0.25">
      <c r="A686">
        <v>6962181067</v>
      </c>
      <c r="B686" s="1">
        <v>42476</v>
      </c>
      <c r="C686">
        <v>13217</v>
      </c>
      <c r="D686">
        <v>8.7399997711181605</v>
      </c>
      <c r="E686">
        <v>50</v>
      </c>
      <c r="F686">
        <v>3</v>
      </c>
      <c r="G686">
        <v>280</v>
      </c>
      <c r="H686">
        <v>2173</v>
      </c>
      <c r="Q686" s="2"/>
      <c r="V686" s="2"/>
      <c r="Z686" s="2"/>
      <c r="AA686" s="2"/>
      <c r="AB686" s="2"/>
    </row>
    <row r="687" spans="1:28" x14ac:dyDescent="0.25">
      <c r="A687">
        <v>6962181067</v>
      </c>
      <c r="B687" s="1">
        <v>42477</v>
      </c>
      <c r="C687">
        <v>10145</v>
      </c>
      <c r="D687">
        <v>6.71000003814697</v>
      </c>
      <c r="E687">
        <v>5</v>
      </c>
      <c r="F687">
        <v>13</v>
      </c>
      <c r="G687">
        <v>295</v>
      </c>
      <c r="H687">
        <v>2027</v>
      </c>
      <c r="Q687" s="2"/>
      <c r="V687" s="2"/>
      <c r="Z687" s="2"/>
      <c r="AA687" s="2"/>
      <c r="AB687" s="2"/>
    </row>
    <row r="688" spans="1:28" x14ac:dyDescent="0.25">
      <c r="A688">
        <v>6962181067</v>
      </c>
      <c r="B688" s="1">
        <v>42478</v>
      </c>
      <c r="C688">
        <v>11404</v>
      </c>
      <c r="D688">
        <v>7.53999996185303</v>
      </c>
      <c r="E688">
        <v>13</v>
      </c>
      <c r="F688">
        <v>42</v>
      </c>
      <c r="G688">
        <v>238</v>
      </c>
      <c r="H688">
        <v>2039</v>
      </c>
      <c r="Q688" s="2"/>
      <c r="V688" s="2"/>
      <c r="Z688" s="2"/>
      <c r="AA688" s="2"/>
      <c r="AB688" s="2"/>
    </row>
    <row r="689" spans="1:28" x14ac:dyDescent="0.25">
      <c r="A689">
        <v>6962181067</v>
      </c>
      <c r="B689" s="1">
        <v>42479</v>
      </c>
      <c r="C689">
        <v>10742</v>
      </c>
      <c r="D689">
        <v>7.0999999046325701</v>
      </c>
      <c r="E689">
        <v>35</v>
      </c>
      <c r="F689">
        <v>41</v>
      </c>
      <c r="G689">
        <v>195</v>
      </c>
      <c r="H689">
        <v>2046</v>
      </c>
      <c r="Q689" s="2"/>
      <c r="V689" s="2"/>
      <c r="Z689" s="2"/>
      <c r="AA689" s="2"/>
      <c r="AB689" s="2"/>
    </row>
    <row r="690" spans="1:28" x14ac:dyDescent="0.25">
      <c r="A690">
        <v>6962181067</v>
      </c>
      <c r="B690" s="1">
        <v>42480</v>
      </c>
      <c r="C690">
        <v>13928</v>
      </c>
      <c r="D690">
        <v>9.5500001907348597</v>
      </c>
      <c r="E690">
        <v>48</v>
      </c>
      <c r="F690">
        <v>4</v>
      </c>
      <c r="G690">
        <v>297</v>
      </c>
      <c r="H690">
        <v>2174</v>
      </c>
      <c r="Q690" s="2"/>
      <c r="V690" s="2"/>
      <c r="Z690" s="2"/>
      <c r="AA690" s="2"/>
      <c r="AB690" s="2"/>
    </row>
    <row r="691" spans="1:28" x14ac:dyDescent="0.25">
      <c r="A691">
        <v>6962181067</v>
      </c>
      <c r="B691" s="1">
        <v>42481</v>
      </c>
      <c r="C691">
        <v>11835</v>
      </c>
      <c r="D691">
        <v>9.7100000381469709</v>
      </c>
      <c r="E691">
        <v>53</v>
      </c>
      <c r="F691">
        <v>27</v>
      </c>
      <c r="G691">
        <v>214</v>
      </c>
      <c r="H691">
        <v>2179</v>
      </c>
      <c r="Q691" s="2"/>
      <c r="V691" s="2"/>
      <c r="Z691" s="2"/>
      <c r="AA691" s="2"/>
      <c r="AB691" s="2"/>
    </row>
    <row r="692" spans="1:28" x14ac:dyDescent="0.25">
      <c r="A692">
        <v>6962181067</v>
      </c>
      <c r="B692" s="1">
        <v>42482</v>
      </c>
      <c r="C692">
        <v>10725</v>
      </c>
      <c r="D692">
        <v>7.0900001525878897</v>
      </c>
      <c r="E692">
        <v>30</v>
      </c>
      <c r="F692">
        <v>33</v>
      </c>
      <c r="G692">
        <v>240</v>
      </c>
      <c r="H692">
        <v>2086</v>
      </c>
      <c r="Q692" s="2"/>
      <c r="V692" s="2"/>
      <c r="Z692" s="2"/>
      <c r="AA692" s="2"/>
      <c r="AB692" s="2"/>
    </row>
    <row r="693" spans="1:28" x14ac:dyDescent="0.25">
      <c r="A693">
        <v>6962181067</v>
      </c>
      <c r="B693" s="1">
        <v>42483</v>
      </c>
      <c r="C693">
        <v>20031</v>
      </c>
      <c r="D693">
        <v>13.2399997711182</v>
      </c>
      <c r="E693">
        <v>58</v>
      </c>
      <c r="F693">
        <v>41</v>
      </c>
      <c r="G693">
        <v>347</v>
      </c>
      <c r="H693">
        <v>2571</v>
      </c>
      <c r="Q693" s="2"/>
      <c r="V693" s="2"/>
      <c r="Z693" s="2"/>
      <c r="AA693" s="2"/>
      <c r="AB693" s="2"/>
    </row>
    <row r="694" spans="1:28" x14ac:dyDescent="0.25">
      <c r="A694">
        <v>6962181067</v>
      </c>
      <c r="B694" s="1">
        <v>42484</v>
      </c>
      <c r="C694">
        <v>5029</v>
      </c>
      <c r="D694">
        <v>3.3199999332428001</v>
      </c>
      <c r="E694">
        <v>0</v>
      </c>
      <c r="F694">
        <v>0</v>
      </c>
      <c r="G694">
        <v>199</v>
      </c>
      <c r="H694">
        <v>1705</v>
      </c>
      <c r="Q694" s="2"/>
      <c r="V694" s="2"/>
      <c r="Z694" s="2"/>
      <c r="AA694" s="2"/>
      <c r="AB694" s="2"/>
    </row>
    <row r="695" spans="1:28" x14ac:dyDescent="0.25">
      <c r="A695">
        <v>6962181067</v>
      </c>
      <c r="B695" s="1">
        <v>42485</v>
      </c>
      <c r="C695">
        <v>13239</v>
      </c>
      <c r="D695">
        <v>9.2700004577636701</v>
      </c>
      <c r="E695">
        <v>35</v>
      </c>
      <c r="F695">
        <v>31</v>
      </c>
      <c r="G695">
        <v>282</v>
      </c>
      <c r="H695">
        <v>2194</v>
      </c>
      <c r="Q695" s="2"/>
      <c r="V695" s="2"/>
      <c r="Z695" s="2"/>
      <c r="AA695" s="2"/>
      <c r="AB695" s="2"/>
    </row>
    <row r="696" spans="1:28" x14ac:dyDescent="0.25">
      <c r="A696">
        <v>6962181067</v>
      </c>
      <c r="B696" s="1">
        <v>42486</v>
      </c>
      <c r="C696">
        <v>10433</v>
      </c>
      <c r="D696">
        <v>6.9000000953674299</v>
      </c>
      <c r="E696">
        <v>36</v>
      </c>
      <c r="F696">
        <v>7</v>
      </c>
      <c r="G696">
        <v>254</v>
      </c>
      <c r="H696">
        <v>2012</v>
      </c>
      <c r="Q696" s="2"/>
      <c r="V696" s="2"/>
      <c r="Z696" s="2"/>
      <c r="AA696" s="2"/>
      <c r="AB696" s="2"/>
    </row>
    <row r="697" spans="1:28" x14ac:dyDescent="0.25">
      <c r="A697">
        <v>6962181067</v>
      </c>
      <c r="B697" s="1">
        <v>42487</v>
      </c>
      <c r="C697">
        <v>10320</v>
      </c>
      <c r="D697">
        <v>6.8200001716613796</v>
      </c>
      <c r="E697">
        <v>7</v>
      </c>
      <c r="F697">
        <v>38</v>
      </c>
      <c r="G697">
        <v>279</v>
      </c>
      <c r="H697">
        <v>2034</v>
      </c>
      <c r="Q697" s="2"/>
      <c r="V697" s="2"/>
      <c r="Z697" s="2"/>
      <c r="AA697" s="2"/>
      <c r="AB697" s="2"/>
    </row>
    <row r="698" spans="1:28" x14ac:dyDescent="0.25">
      <c r="A698">
        <v>6962181067</v>
      </c>
      <c r="B698" s="1">
        <v>42488</v>
      </c>
      <c r="C698">
        <v>12627</v>
      </c>
      <c r="D698">
        <v>8.3500003814697301</v>
      </c>
      <c r="E698">
        <v>38</v>
      </c>
      <c r="F698">
        <v>8</v>
      </c>
      <c r="G698">
        <v>288</v>
      </c>
      <c r="H698">
        <v>2182</v>
      </c>
      <c r="Q698" s="2"/>
      <c r="V698" s="2"/>
      <c r="Z698" s="2"/>
      <c r="AA698" s="2"/>
      <c r="AB698" s="2"/>
    </row>
    <row r="699" spans="1:28" x14ac:dyDescent="0.25">
      <c r="A699">
        <v>6962181067</v>
      </c>
      <c r="B699" s="1">
        <v>42489</v>
      </c>
      <c r="C699">
        <v>10762</v>
      </c>
      <c r="D699">
        <v>7.1100001335143999</v>
      </c>
      <c r="E699">
        <v>12</v>
      </c>
      <c r="F699">
        <v>15</v>
      </c>
      <c r="G699">
        <v>369</v>
      </c>
      <c r="H699">
        <v>2254</v>
      </c>
      <c r="Q699" s="2"/>
      <c r="V699" s="2"/>
      <c r="Z699" s="2"/>
      <c r="AA699" s="2"/>
      <c r="AB699" s="2"/>
    </row>
    <row r="700" spans="1:28" x14ac:dyDescent="0.25">
      <c r="A700">
        <v>6962181067</v>
      </c>
      <c r="B700" s="1">
        <v>42490</v>
      </c>
      <c r="C700">
        <v>10081</v>
      </c>
      <c r="D700">
        <v>6.6599998474121103</v>
      </c>
      <c r="E700">
        <v>32</v>
      </c>
      <c r="F700">
        <v>16</v>
      </c>
      <c r="G700">
        <v>237</v>
      </c>
      <c r="H700">
        <v>2002</v>
      </c>
      <c r="Q700" s="2"/>
      <c r="V700" s="2"/>
      <c r="Z700" s="2"/>
      <c r="AA700" s="2"/>
      <c r="AB700" s="2"/>
    </row>
    <row r="701" spans="1:28" x14ac:dyDescent="0.25">
      <c r="A701">
        <v>6962181067</v>
      </c>
      <c r="B701" s="1">
        <v>42491</v>
      </c>
      <c r="C701">
        <v>5454</v>
      </c>
      <c r="D701">
        <v>3.6099998950958301</v>
      </c>
      <c r="E701">
        <v>0</v>
      </c>
      <c r="F701">
        <v>0</v>
      </c>
      <c r="G701">
        <v>215</v>
      </c>
      <c r="H701">
        <v>1740</v>
      </c>
      <c r="Q701" s="2"/>
      <c r="V701" s="2"/>
      <c r="Z701" s="2"/>
      <c r="AA701" s="2"/>
      <c r="AB701" s="2"/>
    </row>
    <row r="702" spans="1:28" x14ac:dyDescent="0.25">
      <c r="A702">
        <v>6962181067</v>
      </c>
      <c r="B702" s="1">
        <v>42492</v>
      </c>
      <c r="C702">
        <v>12912</v>
      </c>
      <c r="D702">
        <v>8.5399999618530291</v>
      </c>
      <c r="E702">
        <v>18</v>
      </c>
      <c r="F702">
        <v>39</v>
      </c>
      <c r="G702">
        <v>313</v>
      </c>
      <c r="H702">
        <v>2162</v>
      </c>
      <c r="Q702" s="2"/>
      <c r="V702" s="2"/>
      <c r="Z702" s="2"/>
      <c r="AA702" s="2"/>
      <c r="AB702" s="2"/>
    </row>
    <row r="703" spans="1:28" x14ac:dyDescent="0.25">
      <c r="A703">
        <v>6962181067</v>
      </c>
      <c r="B703" s="1">
        <v>42493</v>
      </c>
      <c r="C703">
        <v>12109</v>
      </c>
      <c r="D703">
        <v>8.1199998855590803</v>
      </c>
      <c r="E703">
        <v>21</v>
      </c>
      <c r="F703">
        <v>36</v>
      </c>
      <c r="G703">
        <v>267</v>
      </c>
      <c r="H703">
        <v>2072</v>
      </c>
      <c r="Q703" s="2"/>
      <c r="V703" s="2"/>
      <c r="Z703" s="2"/>
      <c r="AA703" s="2"/>
      <c r="AB703" s="2"/>
    </row>
    <row r="704" spans="1:28" x14ac:dyDescent="0.25">
      <c r="A704">
        <v>6962181067</v>
      </c>
      <c r="B704" s="1">
        <v>42494</v>
      </c>
      <c r="C704">
        <v>10147</v>
      </c>
      <c r="D704">
        <v>6.71000003814697</v>
      </c>
      <c r="E704">
        <v>15</v>
      </c>
      <c r="F704">
        <v>36</v>
      </c>
      <c r="G704">
        <v>284</v>
      </c>
      <c r="H704">
        <v>2086</v>
      </c>
      <c r="Q704" s="2"/>
      <c r="V704" s="2"/>
      <c r="Z704" s="2"/>
      <c r="AA704" s="2"/>
      <c r="AB704" s="2"/>
    </row>
    <row r="705" spans="1:28" x14ac:dyDescent="0.25">
      <c r="A705">
        <v>6962181067</v>
      </c>
      <c r="B705" s="1">
        <v>42495</v>
      </c>
      <c r="C705">
        <v>10524</v>
      </c>
      <c r="D705">
        <v>6.96000003814697</v>
      </c>
      <c r="E705">
        <v>14</v>
      </c>
      <c r="F705">
        <v>22</v>
      </c>
      <c r="G705">
        <v>305</v>
      </c>
      <c r="H705">
        <v>2066</v>
      </c>
      <c r="Q705" s="2"/>
      <c r="V705" s="2"/>
      <c r="Z705" s="2"/>
      <c r="AA705" s="2"/>
      <c r="AB705" s="2"/>
    </row>
    <row r="706" spans="1:28" x14ac:dyDescent="0.25">
      <c r="A706">
        <v>6962181067</v>
      </c>
      <c r="B706" s="1">
        <v>42496</v>
      </c>
      <c r="C706">
        <v>5908</v>
      </c>
      <c r="D706">
        <v>3.9100000858306898</v>
      </c>
      <c r="E706">
        <v>0</v>
      </c>
      <c r="F706">
        <v>0</v>
      </c>
      <c r="G706">
        <v>299</v>
      </c>
      <c r="H706">
        <v>1850</v>
      </c>
      <c r="Q706" s="2"/>
      <c r="V706" s="2"/>
      <c r="Z706" s="2"/>
      <c r="AA706" s="2"/>
      <c r="AB706" s="2"/>
    </row>
    <row r="707" spans="1:28" x14ac:dyDescent="0.25">
      <c r="A707">
        <v>6962181067</v>
      </c>
      <c r="B707" s="1">
        <v>42497</v>
      </c>
      <c r="C707">
        <v>6815</v>
      </c>
      <c r="D707">
        <v>4.5</v>
      </c>
      <c r="E707">
        <v>0</v>
      </c>
      <c r="F707">
        <v>0</v>
      </c>
      <c r="G707">
        <v>328</v>
      </c>
      <c r="H707">
        <v>1947</v>
      </c>
      <c r="Q707" s="2"/>
      <c r="V707" s="2"/>
      <c r="Z707" s="2"/>
      <c r="AA707" s="2"/>
      <c r="AB707" s="2"/>
    </row>
    <row r="708" spans="1:28" x14ac:dyDescent="0.25">
      <c r="A708">
        <v>6962181067</v>
      </c>
      <c r="B708" s="1">
        <v>42498</v>
      </c>
      <c r="C708">
        <v>4188</v>
      </c>
      <c r="D708">
        <v>2.7699999809265101</v>
      </c>
      <c r="E708">
        <v>0</v>
      </c>
      <c r="F708">
        <v>14</v>
      </c>
      <c r="G708">
        <v>151</v>
      </c>
      <c r="H708">
        <v>1659</v>
      </c>
      <c r="Q708" s="2"/>
      <c r="V708" s="2"/>
      <c r="Z708" s="2"/>
      <c r="AA708" s="2"/>
      <c r="AB708" s="2"/>
    </row>
    <row r="709" spans="1:28" x14ac:dyDescent="0.25">
      <c r="A709">
        <v>6962181067</v>
      </c>
      <c r="B709" s="1">
        <v>42499</v>
      </c>
      <c r="C709">
        <v>12342</v>
      </c>
      <c r="D709">
        <v>8.7200002670288104</v>
      </c>
      <c r="E709">
        <v>43</v>
      </c>
      <c r="F709">
        <v>21</v>
      </c>
      <c r="G709">
        <v>231</v>
      </c>
      <c r="H709">
        <v>2105</v>
      </c>
      <c r="Q709" s="2"/>
      <c r="V709" s="2"/>
      <c r="Z709" s="2"/>
      <c r="AA709" s="2"/>
      <c r="AB709" s="2"/>
    </row>
    <row r="710" spans="1:28" x14ac:dyDescent="0.25">
      <c r="A710">
        <v>6962181067</v>
      </c>
      <c r="B710" s="1">
        <v>42500</v>
      </c>
      <c r="C710">
        <v>15448</v>
      </c>
      <c r="D710">
        <v>10.210000038146999</v>
      </c>
      <c r="E710">
        <v>62</v>
      </c>
      <c r="F710">
        <v>34</v>
      </c>
      <c r="G710">
        <v>275</v>
      </c>
      <c r="H710">
        <v>2361</v>
      </c>
      <c r="Q710" s="2"/>
      <c r="V710" s="2"/>
      <c r="Z710" s="2"/>
      <c r="AA710" s="2"/>
      <c r="AB710" s="2"/>
    </row>
    <row r="711" spans="1:28" x14ac:dyDescent="0.25">
      <c r="A711">
        <v>6962181067</v>
      </c>
      <c r="B711" s="1">
        <v>42501</v>
      </c>
      <c r="C711">
        <v>6722</v>
      </c>
      <c r="D711">
        <v>4.4400000572204599</v>
      </c>
      <c r="E711">
        <v>24</v>
      </c>
      <c r="F711">
        <v>7</v>
      </c>
      <c r="G711">
        <v>199</v>
      </c>
      <c r="H711">
        <v>1855</v>
      </c>
      <c r="Q711" s="2"/>
      <c r="V711" s="2"/>
      <c r="Z711" s="2"/>
      <c r="AA711" s="2"/>
      <c r="AB711" s="2"/>
    </row>
    <row r="712" spans="1:28" x14ac:dyDescent="0.25">
      <c r="A712">
        <v>6962181067</v>
      </c>
      <c r="B712" s="1">
        <v>42502</v>
      </c>
      <c r="C712">
        <v>3587</v>
      </c>
      <c r="D712">
        <v>2.3699998855590798</v>
      </c>
      <c r="E712">
        <v>0</v>
      </c>
      <c r="F712">
        <v>8</v>
      </c>
      <c r="G712">
        <v>105</v>
      </c>
      <c r="H712">
        <v>928</v>
      </c>
      <c r="Q712" s="2"/>
      <c r="V712" s="2"/>
      <c r="Z712" s="2"/>
      <c r="AA712" s="2"/>
      <c r="AB712" s="2"/>
    </row>
    <row r="713" spans="1:28" x14ac:dyDescent="0.25">
      <c r="A713">
        <v>7007744171</v>
      </c>
      <c r="B713" s="1">
        <v>42472</v>
      </c>
      <c r="C713">
        <v>14172</v>
      </c>
      <c r="D713">
        <v>10.289999961853001</v>
      </c>
      <c r="E713">
        <v>53</v>
      </c>
      <c r="F713">
        <v>8</v>
      </c>
      <c r="G713">
        <v>355</v>
      </c>
      <c r="H713">
        <v>2937</v>
      </c>
      <c r="Q713" s="2"/>
      <c r="V713" s="2"/>
      <c r="Z713" s="2"/>
      <c r="AA713" s="2"/>
      <c r="AB713" s="2"/>
    </row>
    <row r="714" spans="1:28" x14ac:dyDescent="0.25">
      <c r="A714">
        <v>7007744171</v>
      </c>
      <c r="B714" s="1">
        <v>42473</v>
      </c>
      <c r="C714">
        <v>12862</v>
      </c>
      <c r="D714">
        <v>9.6499996185302699</v>
      </c>
      <c r="E714">
        <v>56</v>
      </c>
      <c r="F714">
        <v>22</v>
      </c>
      <c r="G714">
        <v>261</v>
      </c>
      <c r="H714">
        <v>2742</v>
      </c>
      <c r="Q714" s="2"/>
      <c r="V714" s="2"/>
      <c r="Z714" s="2"/>
      <c r="AA714" s="2"/>
      <c r="AB714" s="2"/>
    </row>
    <row r="715" spans="1:28" x14ac:dyDescent="0.25">
      <c r="A715">
        <v>7007744171</v>
      </c>
      <c r="B715" s="1">
        <v>42474</v>
      </c>
      <c r="C715">
        <v>11179</v>
      </c>
      <c r="D715">
        <v>8.2399997711181605</v>
      </c>
      <c r="E715">
        <v>34</v>
      </c>
      <c r="F715">
        <v>6</v>
      </c>
      <c r="G715">
        <v>304</v>
      </c>
      <c r="H715">
        <v>2668</v>
      </c>
      <c r="Q715" s="2"/>
      <c r="V715" s="2"/>
      <c r="Z715" s="2"/>
      <c r="AA715" s="2"/>
      <c r="AB715" s="2"/>
    </row>
    <row r="716" spans="1:28" x14ac:dyDescent="0.25">
      <c r="A716">
        <v>7007744171</v>
      </c>
      <c r="B716" s="1">
        <v>42475</v>
      </c>
      <c r="C716">
        <v>5273</v>
      </c>
      <c r="D716">
        <v>3.5299999713897701</v>
      </c>
      <c r="E716">
        <v>0</v>
      </c>
      <c r="F716">
        <v>0</v>
      </c>
      <c r="G716">
        <v>202</v>
      </c>
      <c r="H716">
        <v>2098</v>
      </c>
      <c r="Q716" s="2"/>
      <c r="V716" s="2"/>
      <c r="Z716" s="2"/>
      <c r="AA716" s="2"/>
      <c r="AB716" s="2"/>
    </row>
    <row r="717" spans="1:28" x14ac:dyDescent="0.25">
      <c r="A717">
        <v>7007744171</v>
      </c>
      <c r="B717" s="1">
        <v>42476</v>
      </c>
      <c r="C717">
        <v>4631</v>
      </c>
      <c r="D717">
        <v>3.0999999046325701</v>
      </c>
      <c r="E717">
        <v>0</v>
      </c>
      <c r="F717">
        <v>0</v>
      </c>
      <c r="G717">
        <v>203</v>
      </c>
      <c r="H717">
        <v>2076</v>
      </c>
      <c r="Q717" s="2"/>
      <c r="V717" s="2"/>
      <c r="Z717" s="2"/>
      <c r="AA717" s="2"/>
      <c r="AB717" s="2"/>
    </row>
    <row r="718" spans="1:28" x14ac:dyDescent="0.25">
      <c r="A718">
        <v>7007744171</v>
      </c>
      <c r="B718" s="1">
        <v>42477</v>
      </c>
      <c r="C718">
        <v>8059</v>
      </c>
      <c r="D718">
        <v>5.3899998664856001</v>
      </c>
      <c r="E718">
        <v>0</v>
      </c>
      <c r="F718">
        <v>0</v>
      </c>
      <c r="G718">
        <v>305</v>
      </c>
      <c r="H718">
        <v>2383</v>
      </c>
      <c r="Q718" s="2"/>
      <c r="V718" s="2"/>
      <c r="Z718" s="2"/>
      <c r="AA718" s="2"/>
      <c r="AB718" s="2"/>
    </row>
    <row r="719" spans="1:28" x14ac:dyDescent="0.25">
      <c r="A719">
        <v>7007744171</v>
      </c>
      <c r="B719" s="1">
        <v>42478</v>
      </c>
      <c r="C719">
        <v>14816</v>
      </c>
      <c r="D719">
        <v>10.9799995422363</v>
      </c>
      <c r="E719">
        <v>48</v>
      </c>
      <c r="F719">
        <v>31</v>
      </c>
      <c r="G719">
        <v>284</v>
      </c>
      <c r="H719">
        <v>2832</v>
      </c>
      <c r="Q719" s="2"/>
      <c r="V719" s="2"/>
      <c r="Z719" s="2"/>
      <c r="AA719" s="2"/>
      <c r="AB719" s="2"/>
    </row>
    <row r="720" spans="1:28" x14ac:dyDescent="0.25">
      <c r="A720">
        <v>7007744171</v>
      </c>
      <c r="B720" s="1">
        <v>42479</v>
      </c>
      <c r="C720">
        <v>14194</v>
      </c>
      <c r="D720">
        <v>10.4799995422363</v>
      </c>
      <c r="E720">
        <v>53</v>
      </c>
      <c r="F720">
        <v>17</v>
      </c>
      <c r="G720">
        <v>304</v>
      </c>
      <c r="H720">
        <v>2812</v>
      </c>
      <c r="Q720" s="2"/>
      <c r="V720" s="2"/>
      <c r="Z720" s="2"/>
      <c r="AA720" s="2"/>
      <c r="AB720" s="2"/>
    </row>
    <row r="721" spans="1:28" x14ac:dyDescent="0.25">
      <c r="A721">
        <v>7007744171</v>
      </c>
      <c r="B721" s="1">
        <v>42480</v>
      </c>
      <c r="C721">
        <v>15566</v>
      </c>
      <c r="D721">
        <v>11.310000419616699</v>
      </c>
      <c r="E721">
        <v>60</v>
      </c>
      <c r="F721">
        <v>33</v>
      </c>
      <c r="G721">
        <v>347</v>
      </c>
      <c r="H721">
        <v>3096</v>
      </c>
      <c r="Q721" s="2"/>
      <c r="V721" s="2"/>
      <c r="Z721" s="2"/>
      <c r="AA721" s="2"/>
      <c r="AB721" s="2"/>
    </row>
    <row r="722" spans="1:28" x14ac:dyDescent="0.25">
      <c r="A722">
        <v>7007744171</v>
      </c>
      <c r="B722" s="1">
        <v>42481</v>
      </c>
      <c r="C722">
        <v>13744</v>
      </c>
      <c r="D722">
        <v>9.1899995803833008</v>
      </c>
      <c r="E722">
        <v>30</v>
      </c>
      <c r="F722">
        <v>34</v>
      </c>
      <c r="G722">
        <v>327</v>
      </c>
      <c r="H722">
        <v>2763</v>
      </c>
      <c r="Q722" s="2"/>
      <c r="V722" s="2"/>
      <c r="Z722" s="2"/>
      <c r="AA722" s="2"/>
      <c r="AB722" s="2"/>
    </row>
    <row r="723" spans="1:28" x14ac:dyDescent="0.25">
      <c r="A723">
        <v>7007744171</v>
      </c>
      <c r="B723" s="1">
        <v>42482</v>
      </c>
      <c r="C723">
        <v>15299</v>
      </c>
      <c r="D723">
        <v>10.2399997711182</v>
      </c>
      <c r="E723">
        <v>64</v>
      </c>
      <c r="F723">
        <v>50</v>
      </c>
      <c r="G723">
        <v>261</v>
      </c>
      <c r="H723">
        <v>2889</v>
      </c>
      <c r="Q723" s="2"/>
      <c r="V723" s="2"/>
      <c r="Z723" s="2"/>
      <c r="AA723" s="2"/>
      <c r="AB723" s="2"/>
    </row>
    <row r="724" spans="1:28" x14ac:dyDescent="0.25">
      <c r="A724">
        <v>7007744171</v>
      </c>
      <c r="B724" s="1">
        <v>42483</v>
      </c>
      <c r="C724">
        <v>8093</v>
      </c>
      <c r="D724">
        <v>5.4099998474121103</v>
      </c>
      <c r="E724">
        <v>2</v>
      </c>
      <c r="F724">
        <v>25</v>
      </c>
      <c r="G724">
        <v>223</v>
      </c>
      <c r="H724">
        <v>2284</v>
      </c>
      <c r="Q724" s="2"/>
      <c r="V724" s="2"/>
      <c r="Z724" s="2"/>
      <c r="AA724" s="2"/>
      <c r="AB724" s="2"/>
    </row>
    <row r="725" spans="1:28" x14ac:dyDescent="0.25">
      <c r="A725">
        <v>7007744171</v>
      </c>
      <c r="B725" s="1">
        <v>42484</v>
      </c>
      <c r="C725">
        <v>11085</v>
      </c>
      <c r="D725">
        <v>7.4200000762939498</v>
      </c>
      <c r="E725">
        <v>0</v>
      </c>
      <c r="F725">
        <v>0</v>
      </c>
      <c r="G725">
        <v>419</v>
      </c>
      <c r="H725">
        <v>2667</v>
      </c>
      <c r="Q725" s="2"/>
      <c r="V725" s="2"/>
      <c r="Z725" s="2"/>
      <c r="AA725" s="2"/>
      <c r="AB725" s="2"/>
    </row>
    <row r="726" spans="1:28" x14ac:dyDescent="0.25">
      <c r="A726">
        <v>7007744171</v>
      </c>
      <c r="B726" s="1">
        <v>42485</v>
      </c>
      <c r="C726">
        <v>18229</v>
      </c>
      <c r="D726">
        <v>13.3400001525879</v>
      </c>
      <c r="E726">
        <v>51</v>
      </c>
      <c r="F726">
        <v>24</v>
      </c>
      <c r="G726">
        <v>379</v>
      </c>
      <c r="H726">
        <v>3055</v>
      </c>
      <c r="Q726" s="2"/>
      <c r="V726" s="2"/>
      <c r="Z726" s="2"/>
      <c r="AA726" s="2"/>
      <c r="AB726" s="2"/>
    </row>
    <row r="727" spans="1:28" x14ac:dyDescent="0.25">
      <c r="A727">
        <v>7007744171</v>
      </c>
      <c r="B727" s="1">
        <v>42486</v>
      </c>
      <c r="C727">
        <v>15090</v>
      </c>
      <c r="D727">
        <v>10.1000003814697</v>
      </c>
      <c r="E727">
        <v>16</v>
      </c>
      <c r="F727">
        <v>22</v>
      </c>
      <c r="G727">
        <v>424</v>
      </c>
      <c r="H727">
        <v>2939</v>
      </c>
      <c r="Q727" s="2"/>
      <c r="V727" s="2"/>
      <c r="Z727" s="2"/>
      <c r="AA727" s="2"/>
      <c r="AB727" s="2"/>
    </row>
    <row r="728" spans="1:28" x14ac:dyDescent="0.25">
      <c r="A728">
        <v>7007744171</v>
      </c>
      <c r="B728" s="1">
        <v>42487</v>
      </c>
      <c r="C728">
        <v>13541</v>
      </c>
      <c r="D728">
        <v>10.2200002670288</v>
      </c>
      <c r="E728">
        <v>50</v>
      </c>
      <c r="F728">
        <v>12</v>
      </c>
      <c r="G728">
        <v>337</v>
      </c>
      <c r="H728">
        <v>2830</v>
      </c>
      <c r="Q728" s="2"/>
      <c r="V728" s="2"/>
      <c r="Z728" s="2"/>
      <c r="AA728" s="2"/>
      <c r="AB728" s="2"/>
    </row>
    <row r="729" spans="1:28" x14ac:dyDescent="0.25">
      <c r="A729">
        <v>7007744171</v>
      </c>
      <c r="B729" s="1">
        <v>42488</v>
      </c>
      <c r="C729">
        <v>15128</v>
      </c>
      <c r="D729">
        <v>10.1199998855591</v>
      </c>
      <c r="E729">
        <v>16</v>
      </c>
      <c r="F729">
        <v>16</v>
      </c>
      <c r="G729">
        <v>401</v>
      </c>
      <c r="H729">
        <v>2836</v>
      </c>
      <c r="Q729" s="2"/>
      <c r="V729" s="2"/>
      <c r="Z729" s="2"/>
      <c r="AA729" s="2"/>
      <c r="AB729" s="2"/>
    </row>
    <row r="730" spans="1:28" x14ac:dyDescent="0.25">
      <c r="A730">
        <v>7007744171</v>
      </c>
      <c r="B730" s="1">
        <v>42489</v>
      </c>
      <c r="C730">
        <v>20067</v>
      </c>
      <c r="D730">
        <v>14.300000190734901</v>
      </c>
      <c r="E730">
        <v>55</v>
      </c>
      <c r="F730">
        <v>42</v>
      </c>
      <c r="G730">
        <v>382</v>
      </c>
      <c r="H730">
        <v>3180</v>
      </c>
      <c r="Q730" s="2"/>
      <c r="V730" s="2"/>
      <c r="Z730" s="2"/>
      <c r="AA730" s="2"/>
      <c r="AB730" s="2"/>
    </row>
    <row r="731" spans="1:28" x14ac:dyDescent="0.25">
      <c r="A731">
        <v>7007744171</v>
      </c>
      <c r="B731" s="1">
        <v>42490</v>
      </c>
      <c r="C731">
        <v>3761</v>
      </c>
      <c r="D731">
        <v>2.5199999809265101</v>
      </c>
      <c r="E731">
        <v>0</v>
      </c>
      <c r="F731">
        <v>0</v>
      </c>
      <c r="G731">
        <v>200</v>
      </c>
      <c r="H731">
        <v>2051</v>
      </c>
      <c r="Q731" s="2"/>
      <c r="V731" s="2"/>
      <c r="Z731" s="2"/>
      <c r="AA731" s="2"/>
      <c r="AB731" s="2"/>
    </row>
    <row r="732" spans="1:28" x14ac:dyDescent="0.25">
      <c r="A732">
        <v>7007744171</v>
      </c>
      <c r="B732" s="1">
        <v>42491</v>
      </c>
      <c r="C732">
        <v>5600</v>
      </c>
      <c r="D732">
        <v>3.75</v>
      </c>
      <c r="E732">
        <v>0</v>
      </c>
      <c r="F732">
        <v>0</v>
      </c>
      <c r="G732">
        <v>237</v>
      </c>
      <c r="H732">
        <v>2225</v>
      </c>
      <c r="Q732" s="2"/>
      <c r="V732" s="2"/>
      <c r="Z732" s="2"/>
      <c r="AA732" s="2"/>
      <c r="AB732" s="2"/>
    </row>
    <row r="733" spans="1:28" x14ac:dyDescent="0.25">
      <c r="A733">
        <v>7007744171</v>
      </c>
      <c r="B733" s="1">
        <v>42492</v>
      </c>
      <c r="C733">
        <v>13041</v>
      </c>
      <c r="D733">
        <v>9.1800003051757795</v>
      </c>
      <c r="E733">
        <v>64</v>
      </c>
      <c r="F733">
        <v>14</v>
      </c>
      <c r="G733">
        <v>250</v>
      </c>
      <c r="H733">
        <v>2642</v>
      </c>
      <c r="Q733" s="2"/>
      <c r="V733" s="2"/>
      <c r="Z733" s="2"/>
      <c r="AA733" s="2"/>
      <c r="AB733" s="2"/>
    </row>
    <row r="734" spans="1:28" x14ac:dyDescent="0.25">
      <c r="A734">
        <v>7007744171</v>
      </c>
      <c r="B734" s="1">
        <v>42493</v>
      </c>
      <c r="C734">
        <v>14510</v>
      </c>
      <c r="D734">
        <v>10.8699998855591</v>
      </c>
      <c r="E734">
        <v>58</v>
      </c>
      <c r="F734">
        <v>31</v>
      </c>
      <c r="G734">
        <v>330</v>
      </c>
      <c r="H734">
        <v>2976</v>
      </c>
      <c r="Q734" s="2"/>
      <c r="V734" s="2"/>
      <c r="Z734" s="2"/>
      <c r="AA734" s="2"/>
      <c r="AB734" s="2"/>
    </row>
    <row r="735" spans="1:28" x14ac:dyDescent="0.25">
      <c r="A735">
        <v>7007744171</v>
      </c>
      <c r="B735" s="1">
        <v>42494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1557</v>
      </c>
      <c r="Q735" s="2"/>
      <c r="V735" s="2"/>
      <c r="Z735" s="2"/>
      <c r="AA735" s="2"/>
      <c r="AB735" s="2"/>
    </row>
    <row r="736" spans="1:28" x14ac:dyDescent="0.25">
      <c r="A736">
        <v>7007744171</v>
      </c>
      <c r="B736" s="1">
        <v>42495</v>
      </c>
      <c r="C736">
        <v>15010</v>
      </c>
      <c r="D736">
        <v>11.1000003814697</v>
      </c>
      <c r="E736">
        <v>53</v>
      </c>
      <c r="F736">
        <v>23</v>
      </c>
      <c r="G736">
        <v>317</v>
      </c>
      <c r="H736">
        <v>2933</v>
      </c>
      <c r="Q736" s="2"/>
      <c r="V736" s="2"/>
      <c r="Z736" s="2"/>
      <c r="AA736" s="2"/>
      <c r="AB736" s="2"/>
    </row>
    <row r="737" spans="1:28" x14ac:dyDescent="0.25">
      <c r="A737">
        <v>7007744171</v>
      </c>
      <c r="B737" s="1">
        <v>42496</v>
      </c>
      <c r="C737">
        <v>11459</v>
      </c>
      <c r="D737">
        <v>7.6700000762939498</v>
      </c>
      <c r="E737">
        <v>44</v>
      </c>
      <c r="F737">
        <v>13</v>
      </c>
      <c r="G737">
        <v>247</v>
      </c>
      <c r="H737">
        <v>2553</v>
      </c>
      <c r="Q737" s="2"/>
      <c r="V737" s="2"/>
      <c r="Z737" s="2"/>
      <c r="AA737" s="2"/>
      <c r="AB737" s="2"/>
    </row>
    <row r="738" spans="1:28" x14ac:dyDescent="0.25">
      <c r="A738">
        <v>7007744171</v>
      </c>
      <c r="B738" s="1">
        <v>42497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120</v>
      </c>
      <c r="Q738" s="2"/>
      <c r="V738" s="2"/>
      <c r="Z738" s="2"/>
      <c r="AA738" s="2"/>
      <c r="AB738" s="2"/>
    </row>
    <row r="739" spans="1:28" x14ac:dyDescent="0.25">
      <c r="A739">
        <v>7086361926</v>
      </c>
      <c r="B739" s="1">
        <v>42472</v>
      </c>
      <c r="C739">
        <v>11317</v>
      </c>
      <c r="D739">
        <v>8.4099998474121094</v>
      </c>
      <c r="E739">
        <v>59</v>
      </c>
      <c r="F739">
        <v>6</v>
      </c>
      <c r="G739">
        <v>153</v>
      </c>
      <c r="H739">
        <v>2772</v>
      </c>
      <c r="Q739" s="2"/>
      <c r="V739" s="2"/>
      <c r="Z739" s="2"/>
      <c r="AA739" s="2"/>
      <c r="AB739" s="2"/>
    </row>
    <row r="740" spans="1:28" x14ac:dyDescent="0.25">
      <c r="A740">
        <v>7086361926</v>
      </c>
      <c r="B740" s="1">
        <v>42473</v>
      </c>
      <c r="C740">
        <v>5813</v>
      </c>
      <c r="D740">
        <v>3.6199998855590798</v>
      </c>
      <c r="E740">
        <v>31</v>
      </c>
      <c r="F740">
        <v>26</v>
      </c>
      <c r="G740">
        <v>155</v>
      </c>
      <c r="H740">
        <v>2516</v>
      </c>
      <c r="Q740" s="2"/>
      <c r="V740" s="2"/>
      <c r="Z740" s="2"/>
      <c r="AA740" s="2"/>
      <c r="AB740" s="2"/>
    </row>
    <row r="741" spans="1:28" x14ac:dyDescent="0.25">
      <c r="A741">
        <v>7086361926</v>
      </c>
      <c r="B741" s="1">
        <v>42474</v>
      </c>
      <c r="C741">
        <v>9123</v>
      </c>
      <c r="D741">
        <v>6.1199998855590803</v>
      </c>
      <c r="E741">
        <v>35</v>
      </c>
      <c r="F741">
        <v>32</v>
      </c>
      <c r="G741">
        <v>189</v>
      </c>
      <c r="H741">
        <v>2734</v>
      </c>
      <c r="Q741" s="2"/>
      <c r="V741" s="2"/>
      <c r="Z741" s="2"/>
      <c r="AA741" s="2"/>
      <c r="AB741" s="2"/>
    </row>
    <row r="742" spans="1:28" x14ac:dyDescent="0.25">
      <c r="A742">
        <v>7086361926</v>
      </c>
      <c r="B742" s="1">
        <v>42475</v>
      </c>
      <c r="C742">
        <v>8585</v>
      </c>
      <c r="D742">
        <v>5.6700000762939498</v>
      </c>
      <c r="E742">
        <v>30</v>
      </c>
      <c r="F742">
        <v>21</v>
      </c>
      <c r="G742">
        <v>139</v>
      </c>
      <c r="H742">
        <v>2395</v>
      </c>
      <c r="Q742" s="2"/>
      <c r="V742" s="2"/>
      <c r="Z742" s="2"/>
      <c r="AA742" s="2"/>
      <c r="AB742" s="2"/>
    </row>
    <row r="743" spans="1:28" x14ac:dyDescent="0.25">
      <c r="A743">
        <v>7086361926</v>
      </c>
      <c r="B743" s="1">
        <v>42476</v>
      </c>
      <c r="C743">
        <v>31</v>
      </c>
      <c r="D743">
        <v>9.9999997764825804E-3</v>
      </c>
      <c r="E743">
        <v>0</v>
      </c>
      <c r="F743">
        <v>0</v>
      </c>
      <c r="G743">
        <v>3</v>
      </c>
      <c r="H743">
        <v>1635</v>
      </c>
      <c r="Q743" s="2"/>
      <c r="V743" s="2"/>
      <c r="Z743" s="2"/>
      <c r="AA743" s="2"/>
      <c r="AB743" s="2"/>
    </row>
    <row r="744" spans="1:28" x14ac:dyDescent="0.25">
      <c r="A744">
        <v>7086361926</v>
      </c>
      <c r="B744" s="1">
        <v>42477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1629</v>
      </c>
      <c r="Q744" s="2"/>
      <c r="V744" s="2"/>
      <c r="Z744" s="2"/>
      <c r="AA744" s="2"/>
      <c r="AB744" s="2"/>
    </row>
    <row r="745" spans="1:28" x14ac:dyDescent="0.25">
      <c r="A745">
        <v>7086361926</v>
      </c>
      <c r="B745" s="1">
        <v>42478</v>
      </c>
      <c r="C745">
        <v>9827</v>
      </c>
      <c r="D745">
        <v>6.71000003814697</v>
      </c>
      <c r="E745">
        <v>61</v>
      </c>
      <c r="F745">
        <v>51</v>
      </c>
      <c r="G745">
        <v>114</v>
      </c>
      <c r="H745">
        <v>2743</v>
      </c>
      <c r="Q745" s="2"/>
      <c r="V745" s="2"/>
      <c r="Z745" s="2"/>
      <c r="AA745" s="2"/>
      <c r="AB745" s="2"/>
    </row>
    <row r="746" spans="1:28" x14ac:dyDescent="0.25">
      <c r="A746">
        <v>7086361926</v>
      </c>
      <c r="B746" s="1">
        <v>42479</v>
      </c>
      <c r="C746">
        <v>10688</v>
      </c>
      <c r="D746">
        <v>7.28999996185303</v>
      </c>
      <c r="E746">
        <v>67</v>
      </c>
      <c r="F746">
        <v>69</v>
      </c>
      <c r="G746">
        <v>124</v>
      </c>
      <c r="H746">
        <v>2944</v>
      </c>
      <c r="Q746" s="2"/>
      <c r="V746" s="2"/>
      <c r="Z746" s="2"/>
      <c r="AA746" s="2"/>
      <c r="AB746" s="2"/>
    </row>
    <row r="747" spans="1:28" x14ac:dyDescent="0.25">
      <c r="A747">
        <v>7086361926</v>
      </c>
      <c r="B747" s="1">
        <v>42480</v>
      </c>
      <c r="C747">
        <v>14365</v>
      </c>
      <c r="D747">
        <v>10.6400003433228</v>
      </c>
      <c r="E747">
        <v>87</v>
      </c>
      <c r="F747">
        <v>13</v>
      </c>
      <c r="G747">
        <v>145</v>
      </c>
      <c r="H747">
        <v>2997</v>
      </c>
      <c r="Q747" s="2"/>
      <c r="V747" s="2"/>
      <c r="Z747" s="2"/>
      <c r="AA747" s="2"/>
      <c r="AB747" s="2"/>
    </row>
    <row r="748" spans="1:28" x14ac:dyDescent="0.25">
      <c r="A748">
        <v>7086361926</v>
      </c>
      <c r="B748" s="1">
        <v>42481</v>
      </c>
      <c r="C748">
        <v>9469</v>
      </c>
      <c r="D748">
        <v>6.1799998283386204</v>
      </c>
      <c r="E748">
        <v>19</v>
      </c>
      <c r="F748">
        <v>6</v>
      </c>
      <c r="G748">
        <v>206</v>
      </c>
      <c r="H748">
        <v>2463</v>
      </c>
      <c r="Q748" s="2"/>
      <c r="V748" s="2"/>
      <c r="Z748" s="2"/>
      <c r="AA748" s="2"/>
      <c r="AB748" s="2"/>
    </row>
    <row r="749" spans="1:28" x14ac:dyDescent="0.25">
      <c r="A749">
        <v>7086361926</v>
      </c>
      <c r="B749" s="1">
        <v>42482</v>
      </c>
      <c r="C749">
        <v>9753</v>
      </c>
      <c r="D749">
        <v>6.5300002098083496</v>
      </c>
      <c r="E749">
        <v>58</v>
      </c>
      <c r="F749">
        <v>59</v>
      </c>
      <c r="G749">
        <v>153</v>
      </c>
      <c r="H749">
        <v>2846</v>
      </c>
      <c r="Q749" s="2"/>
      <c r="V749" s="2"/>
      <c r="Z749" s="2"/>
      <c r="AA749" s="2"/>
      <c r="AB749" s="2"/>
    </row>
    <row r="750" spans="1:28" x14ac:dyDescent="0.25">
      <c r="A750">
        <v>7086361926</v>
      </c>
      <c r="B750" s="1">
        <v>42483</v>
      </c>
      <c r="C750">
        <v>2817</v>
      </c>
      <c r="D750">
        <v>1.8099999427795399</v>
      </c>
      <c r="E750">
        <v>0</v>
      </c>
      <c r="F750">
        <v>0</v>
      </c>
      <c r="G750">
        <v>90</v>
      </c>
      <c r="H750">
        <v>1965</v>
      </c>
      <c r="Q750" s="2"/>
      <c r="V750" s="2"/>
      <c r="Z750" s="2"/>
      <c r="AA750" s="2"/>
      <c r="AB750" s="2"/>
    </row>
    <row r="751" spans="1:28" x14ac:dyDescent="0.25">
      <c r="A751">
        <v>7086361926</v>
      </c>
      <c r="B751" s="1">
        <v>42484</v>
      </c>
      <c r="C751">
        <v>3520</v>
      </c>
      <c r="D751">
        <v>2.1600000858306898</v>
      </c>
      <c r="E751">
        <v>0</v>
      </c>
      <c r="F751">
        <v>0</v>
      </c>
      <c r="G751">
        <v>125</v>
      </c>
      <c r="H751">
        <v>2049</v>
      </c>
      <c r="Q751" s="2"/>
      <c r="V751" s="2"/>
      <c r="Z751" s="2"/>
      <c r="AA751" s="2"/>
      <c r="AB751" s="2"/>
    </row>
    <row r="752" spans="1:28" x14ac:dyDescent="0.25">
      <c r="A752">
        <v>7086361926</v>
      </c>
      <c r="B752" s="1">
        <v>42485</v>
      </c>
      <c r="C752">
        <v>10091</v>
      </c>
      <c r="D752">
        <v>6.8200001716613796</v>
      </c>
      <c r="E752">
        <v>69</v>
      </c>
      <c r="F752">
        <v>39</v>
      </c>
      <c r="G752">
        <v>129</v>
      </c>
      <c r="H752">
        <v>2752</v>
      </c>
      <c r="Q752" s="2"/>
      <c r="V752" s="2"/>
      <c r="Z752" s="2"/>
      <c r="AA752" s="2"/>
      <c r="AB752" s="2"/>
    </row>
    <row r="753" spans="1:28" x14ac:dyDescent="0.25">
      <c r="A753">
        <v>7086361926</v>
      </c>
      <c r="B753" s="1">
        <v>42486</v>
      </c>
      <c r="C753">
        <v>10387</v>
      </c>
      <c r="D753">
        <v>7.0700001716613796</v>
      </c>
      <c r="E753">
        <v>70</v>
      </c>
      <c r="F753">
        <v>33</v>
      </c>
      <c r="G753">
        <v>132</v>
      </c>
      <c r="H753">
        <v>2781</v>
      </c>
      <c r="Q753" s="2"/>
      <c r="V753" s="2"/>
      <c r="Z753" s="2"/>
      <c r="AA753" s="2"/>
      <c r="AB753" s="2"/>
    </row>
    <row r="754" spans="1:28" x14ac:dyDescent="0.25">
      <c r="A754">
        <v>7086361926</v>
      </c>
      <c r="B754" s="1">
        <v>42487</v>
      </c>
      <c r="C754">
        <v>11107</v>
      </c>
      <c r="D754">
        <v>8.3400001525878906</v>
      </c>
      <c r="E754">
        <v>55</v>
      </c>
      <c r="F754">
        <v>6</v>
      </c>
      <c r="G754">
        <v>145</v>
      </c>
      <c r="H754">
        <v>2693</v>
      </c>
      <c r="Q754" s="2"/>
      <c r="V754" s="2"/>
      <c r="Z754" s="2"/>
      <c r="AA754" s="2"/>
      <c r="AB754" s="2"/>
    </row>
    <row r="755" spans="1:28" x14ac:dyDescent="0.25">
      <c r="A755">
        <v>7086361926</v>
      </c>
      <c r="B755" s="1">
        <v>42488</v>
      </c>
      <c r="C755">
        <v>11584</v>
      </c>
      <c r="D755">
        <v>7.8000001907348597</v>
      </c>
      <c r="E755">
        <v>54</v>
      </c>
      <c r="F755">
        <v>48</v>
      </c>
      <c r="G755">
        <v>161</v>
      </c>
      <c r="H755">
        <v>2862</v>
      </c>
      <c r="Q755" s="2"/>
      <c r="V755" s="2"/>
      <c r="Z755" s="2"/>
      <c r="AA755" s="2"/>
      <c r="AB755" s="2"/>
    </row>
    <row r="756" spans="1:28" x14ac:dyDescent="0.25">
      <c r="A756">
        <v>7086361926</v>
      </c>
      <c r="B756" s="1">
        <v>42489</v>
      </c>
      <c r="C756">
        <v>7881</v>
      </c>
      <c r="D756">
        <v>4.9499998092651403</v>
      </c>
      <c r="E756">
        <v>24</v>
      </c>
      <c r="F756">
        <v>36</v>
      </c>
      <c r="G756">
        <v>182</v>
      </c>
      <c r="H756">
        <v>2616</v>
      </c>
      <c r="Q756" s="2"/>
      <c r="V756" s="2"/>
      <c r="Z756" s="2"/>
      <c r="AA756" s="2"/>
      <c r="AB756" s="2"/>
    </row>
    <row r="757" spans="1:28" x14ac:dyDescent="0.25">
      <c r="A757">
        <v>7086361926</v>
      </c>
      <c r="B757" s="1">
        <v>42490</v>
      </c>
      <c r="C757">
        <v>14560</v>
      </c>
      <c r="D757">
        <v>9.4099998474121094</v>
      </c>
      <c r="E757">
        <v>42</v>
      </c>
      <c r="F757">
        <v>17</v>
      </c>
      <c r="G757">
        <v>308</v>
      </c>
      <c r="H757">
        <v>2995</v>
      </c>
      <c r="Q757" s="2"/>
      <c r="V757" s="2"/>
      <c r="Z757" s="2"/>
      <c r="AA757" s="2"/>
      <c r="AB757" s="2"/>
    </row>
    <row r="758" spans="1:28" x14ac:dyDescent="0.25">
      <c r="A758">
        <v>7086361926</v>
      </c>
      <c r="B758" s="1">
        <v>42491</v>
      </c>
      <c r="C758">
        <v>12390</v>
      </c>
      <c r="D758">
        <v>8.0699996948242205</v>
      </c>
      <c r="E758">
        <v>30</v>
      </c>
      <c r="F758">
        <v>15</v>
      </c>
      <c r="G758">
        <v>258</v>
      </c>
      <c r="H758">
        <v>2730</v>
      </c>
      <c r="Q758" s="2"/>
      <c r="V758" s="2"/>
      <c r="Z758" s="2"/>
      <c r="AA758" s="2"/>
      <c r="AB758" s="2"/>
    </row>
    <row r="759" spans="1:28" x14ac:dyDescent="0.25">
      <c r="A759">
        <v>7086361926</v>
      </c>
      <c r="B759" s="1">
        <v>42492</v>
      </c>
      <c r="C759">
        <v>10052</v>
      </c>
      <c r="D759">
        <v>6.8099999427795401</v>
      </c>
      <c r="E759">
        <v>66</v>
      </c>
      <c r="F759">
        <v>26</v>
      </c>
      <c r="G759">
        <v>139</v>
      </c>
      <c r="H759">
        <v>2754</v>
      </c>
      <c r="Q759" s="2"/>
      <c r="V759" s="2"/>
      <c r="Z759" s="2"/>
      <c r="AA759" s="2"/>
      <c r="AB759" s="2"/>
    </row>
    <row r="760" spans="1:28" x14ac:dyDescent="0.25">
      <c r="A760">
        <v>7086361926</v>
      </c>
      <c r="B760" s="1">
        <v>42493</v>
      </c>
      <c r="C760">
        <v>10288</v>
      </c>
      <c r="D760">
        <v>6.7600002288818404</v>
      </c>
      <c r="E760">
        <v>57</v>
      </c>
      <c r="F760">
        <v>36</v>
      </c>
      <c r="G760">
        <v>152</v>
      </c>
      <c r="H760">
        <v>2754</v>
      </c>
      <c r="Q760" s="2"/>
      <c r="V760" s="2"/>
      <c r="Z760" s="2"/>
      <c r="AA760" s="2"/>
      <c r="AB760" s="2"/>
    </row>
    <row r="761" spans="1:28" x14ac:dyDescent="0.25">
      <c r="A761">
        <v>7086361926</v>
      </c>
      <c r="B761" s="1">
        <v>42494</v>
      </c>
      <c r="C761">
        <v>10988</v>
      </c>
      <c r="D761">
        <v>8.3100004196166992</v>
      </c>
      <c r="E761">
        <v>45</v>
      </c>
      <c r="F761">
        <v>12</v>
      </c>
      <c r="G761">
        <v>135</v>
      </c>
      <c r="H761">
        <v>2655</v>
      </c>
      <c r="Q761" s="2"/>
      <c r="V761" s="2"/>
      <c r="Z761" s="2"/>
      <c r="AA761" s="2"/>
      <c r="AB761" s="2"/>
    </row>
    <row r="762" spans="1:28" x14ac:dyDescent="0.25">
      <c r="A762">
        <v>7086361926</v>
      </c>
      <c r="B762" s="1">
        <v>42495</v>
      </c>
      <c r="C762">
        <v>8564</v>
      </c>
      <c r="D762">
        <v>5.5999999046325701</v>
      </c>
      <c r="E762">
        <v>24</v>
      </c>
      <c r="F762">
        <v>14</v>
      </c>
      <c r="G762">
        <v>149</v>
      </c>
      <c r="H762">
        <v>2386</v>
      </c>
      <c r="Q762" s="2"/>
      <c r="V762" s="2"/>
      <c r="Z762" s="2"/>
      <c r="AA762" s="2"/>
      <c r="AB762" s="2"/>
    </row>
    <row r="763" spans="1:28" x14ac:dyDescent="0.25">
      <c r="A763">
        <v>7086361926</v>
      </c>
      <c r="B763" s="1">
        <v>42496</v>
      </c>
      <c r="C763">
        <v>12461</v>
      </c>
      <c r="D763">
        <v>8.3800001144409197</v>
      </c>
      <c r="E763">
        <v>84</v>
      </c>
      <c r="F763">
        <v>35</v>
      </c>
      <c r="G763">
        <v>154</v>
      </c>
      <c r="H763">
        <v>2924</v>
      </c>
      <c r="Q763" s="2"/>
      <c r="V763" s="2"/>
      <c r="Z763" s="2"/>
      <c r="AA763" s="2"/>
      <c r="AB763" s="2"/>
    </row>
    <row r="764" spans="1:28" x14ac:dyDescent="0.25">
      <c r="A764">
        <v>7086361926</v>
      </c>
      <c r="B764" s="1">
        <v>42497</v>
      </c>
      <c r="C764">
        <v>12827</v>
      </c>
      <c r="D764">
        <v>8.4799995422363299</v>
      </c>
      <c r="E764">
        <v>20</v>
      </c>
      <c r="F764">
        <v>42</v>
      </c>
      <c r="G764">
        <v>209</v>
      </c>
      <c r="H764">
        <v>2739</v>
      </c>
      <c r="Q764" s="2"/>
      <c r="V764" s="2"/>
      <c r="Z764" s="2"/>
      <c r="AA764" s="2"/>
      <c r="AB764" s="2"/>
    </row>
    <row r="765" spans="1:28" x14ac:dyDescent="0.25">
      <c r="A765">
        <v>7086361926</v>
      </c>
      <c r="B765" s="1">
        <v>42498</v>
      </c>
      <c r="C765">
        <v>10677</v>
      </c>
      <c r="D765">
        <v>7.0999999046325701</v>
      </c>
      <c r="E765">
        <v>32</v>
      </c>
      <c r="F765">
        <v>27</v>
      </c>
      <c r="G765">
        <v>147</v>
      </c>
      <c r="H765">
        <v>2534</v>
      </c>
      <c r="Q765" s="2"/>
      <c r="V765" s="2"/>
      <c r="Z765" s="2"/>
      <c r="AA765" s="2"/>
      <c r="AB765" s="2"/>
    </row>
    <row r="766" spans="1:28" x14ac:dyDescent="0.25">
      <c r="A766">
        <v>7086361926</v>
      </c>
      <c r="B766" s="1">
        <v>42499</v>
      </c>
      <c r="C766">
        <v>13566</v>
      </c>
      <c r="D766">
        <v>9.1099996566772496</v>
      </c>
      <c r="E766">
        <v>67</v>
      </c>
      <c r="F766">
        <v>50</v>
      </c>
      <c r="G766">
        <v>171</v>
      </c>
      <c r="H766">
        <v>2960</v>
      </c>
      <c r="Q766" s="2"/>
      <c r="V766" s="2"/>
      <c r="Z766" s="2"/>
      <c r="AA766" s="2"/>
      <c r="AB766" s="2"/>
    </row>
    <row r="767" spans="1:28" x14ac:dyDescent="0.25">
      <c r="A767">
        <v>7086361926</v>
      </c>
      <c r="B767" s="1">
        <v>42500</v>
      </c>
      <c r="C767">
        <v>14433</v>
      </c>
      <c r="D767">
        <v>10.789999961853001</v>
      </c>
      <c r="E767">
        <v>72</v>
      </c>
      <c r="F767">
        <v>23</v>
      </c>
      <c r="G767">
        <v>106</v>
      </c>
      <c r="H767">
        <v>2800</v>
      </c>
      <c r="Q767" s="2"/>
      <c r="V767" s="2"/>
      <c r="Z767" s="2"/>
      <c r="AA767" s="2"/>
      <c r="AB767" s="2"/>
    </row>
    <row r="768" spans="1:28" x14ac:dyDescent="0.25">
      <c r="A768">
        <v>7086361926</v>
      </c>
      <c r="B768" s="1">
        <v>42501</v>
      </c>
      <c r="C768">
        <v>9572</v>
      </c>
      <c r="D768">
        <v>6.5199999809265101</v>
      </c>
      <c r="E768">
        <v>57</v>
      </c>
      <c r="F768">
        <v>40</v>
      </c>
      <c r="G768">
        <v>128</v>
      </c>
      <c r="H768">
        <v>2735</v>
      </c>
      <c r="Q768" s="2"/>
      <c r="V768" s="2"/>
      <c r="Z768" s="2"/>
      <c r="AA768" s="2"/>
      <c r="AB768" s="2"/>
    </row>
    <row r="769" spans="1:28" x14ac:dyDescent="0.25">
      <c r="A769">
        <v>7086361926</v>
      </c>
      <c r="B769" s="1">
        <v>42502</v>
      </c>
      <c r="C769">
        <v>3789</v>
      </c>
      <c r="D769">
        <v>2.5599999427795401</v>
      </c>
      <c r="E769">
        <v>5</v>
      </c>
      <c r="F769">
        <v>4</v>
      </c>
      <c r="G769">
        <v>58</v>
      </c>
      <c r="H769">
        <v>1199</v>
      </c>
      <c r="Q769" s="2"/>
      <c r="V769" s="2"/>
      <c r="Z769" s="2"/>
      <c r="AA769" s="2"/>
      <c r="AB769" s="2"/>
    </row>
    <row r="770" spans="1:28" x14ac:dyDescent="0.25">
      <c r="A770">
        <v>8053475328</v>
      </c>
      <c r="B770" s="1">
        <v>42472</v>
      </c>
      <c r="C770">
        <v>18060</v>
      </c>
      <c r="D770">
        <v>14.1199998855591</v>
      </c>
      <c r="E770">
        <v>116</v>
      </c>
      <c r="F770">
        <v>8</v>
      </c>
      <c r="G770">
        <v>123</v>
      </c>
      <c r="H770">
        <v>3186</v>
      </c>
      <c r="Q770" s="2"/>
      <c r="V770" s="2"/>
      <c r="Z770" s="2"/>
      <c r="AA770" s="2"/>
      <c r="AB770" s="2"/>
    </row>
    <row r="771" spans="1:28" x14ac:dyDescent="0.25">
      <c r="A771">
        <v>8053475328</v>
      </c>
      <c r="B771" s="1">
        <v>42473</v>
      </c>
      <c r="C771">
        <v>16433</v>
      </c>
      <c r="D771">
        <v>13.3500003814697</v>
      </c>
      <c r="E771">
        <v>95</v>
      </c>
      <c r="F771">
        <v>12</v>
      </c>
      <c r="G771">
        <v>156</v>
      </c>
      <c r="H771">
        <v>3140</v>
      </c>
      <c r="Q771" s="2"/>
      <c r="V771" s="2"/>
      <c r="Z771" s="2"/>
      <c r="AA771" s="2"/>
      <c r="AB771" s="2"/>
    </row>
    <row r="772" spans="1:28" x14ac:dyDescent="0.25">
      <c r="A772">
        <v>8053475328</v>
      </c>
      <c r="B772" s="1">
        <v>42474</v>
      </c>
      <c r="C772">
        <v>20159</v>
      </c>
      <c r="D772">
        <v>15.9700002670288</v>
      </c>
      <c r="E772">
        <v>119</v>
      </c>
      <c r="F772">
        <v>5</v>
      </c>
      <c r="G772">
        <v>193</v>
      </c>
      <c r="H772">
        <v>3411</v>
      </c>
      <c r="Q772" s="2"/>
      <c r="V772" s="2"/>
      <c r="Z772" s="2"/>
      <c r="AA772" s="2"/>
      <c r="AB772" s="2"/>
    </row>
    <row r="773" spans="1:28" x14ac:dyDescent="0.25">
      <c r="A773">
        <v>8053475328</v>
      </c>
      <c r="B773" s="1">
        <v>42475</v>
      </c>
      <c r="C773">
        <v>20669</v>
      </c>
      <c r="D773">
        <v>16.2399997711182</v>
      </c>
      <c r="E773">
        <v>132</v>
      </c>
      <c r="F773">
        <v>8</v>
      </c>
      <c r="G773">
        <v>158</v>
      </c>
      <c r="H773">
        <v>3410</v>
      </c>
      <c r="Q773" s="2"/>
      <c r="V773" s="2"/>
      <c r="Z773" s="2"/>
      <c r="AA773" s="2"/>
      <c r="AB773" s="2"/>
    </row>
    <row r="774" spans="1:28" x14ac:dyDescent="0.25">
      <c r="A774">
        <v>8053475328</v>
      </c>
      <c r="B774" s="1">
        <v>42476</v>
      </c>
      <c r="C774">
        <v>14549</v>
      </c>
      <c r="D774">
        <v>11.1099996566772</v>
      </c>
      <c r="E774">
        <v>96</v>
      </c>
      <c r="F774">
        <v>6</v>
      </c>
      <c r="G774">
        <v>83</v>
      </c>
      <c r="H774">
        <v>2867</v>
      </c>
      <c r="Q774" s="2"/>
      <c r="V774" s="2"/>
      <c r="Z774" s="2"/>
      <c r="AA774" s="2"/>
      <c r="AB774" s="2"/>
    </row>
    <row r="775" spans="1:28" x14ac:dyDescent="0.25">
      <c r="A775">
        <v>8053475328</v>
      </c>
      <c r="B775" s="1">
        <v>42477</v>
      </c>
      <c r="C775">
        <v>18827</v>
      </c>
      <c r="D775">
        <v>13.689999580383301</v>
      </c>
      <c r="E775">
        <v>111</v>
      </c>
      <c r="F775">
        <v>21</v>
      </c>
      <c r="G775">
        <v>195</v>
      </c>
      <c r="H775">
        <v>3213</v>
      </c>
      <c r="Q775" s="2"/>
      <c r="V775" s="2"/>
      <c r="Z775" s="2"/>
      <c r="AA775" s="2"/>
      <c r="AB775" s="2"/>
    </row>
    <row r="776" spans="1:28" x14ac:dyDescent="0.25">
      <c r="A776">
        <v>8053475328</v>
      </c>
      <c r="B776" s="1">
        <v>42478</v>
      </c>
      <c r="C776">
        <v>17076</v>
      </c>
      <c r="D776">
        <v>12.6599998474121</v>
      </c>
      <c r="E776">
        <v>102</v>
      </c>
      <c r="F776">
        <v>6</v>
      </c>
      <c r="G776">
        <v>195</v>
      </c>
      <c r="H776">
        <v>3133</v>
      </c>
      <c r="Q776" s="2"/>
      <c r="V776" s="2"/>
      <c r="Z776" s="2"/>
      <c r="AA776" s="2"/>
      <c r="AB776" s="2"/>
    </row>
    <row r="777" spans="1:28" x14ac:dyDescent="0.25">
      <c r="A777">
        <v>8053475328</v>
      </c>
      <c r="B777" s="1">
        <v>42479</v>
      </c>
      <c r="C777">
        <v>15929</v>
      </c>
      <c r="D777">
        <v>12.4799995422363</v>
      </c>
      <c r="E777">
        <v>90</v>
      </c>
      <c r="F777">
        <v>7</v>
      </c>
      <c r="G777">
        <v>191</v>
      </c>
      <c r="H777">
        <v>3114</v>
      </c>
      <c r="Q777" s="2"/>
      <c r="V777" s="2"/>
      <c r="Z777" s="2"/>
      <c r="AA777" s="2"/>
      <c r="AB777" s="2"/>
    </row>
    <row r="778" spans="1:28" x14ac:dyDescent="0.25">
      <c r="A778">
        <v>8053475328</v>
      </c>
      <c r="B778" s="1">
        <v>42480</v>
      </c>
      <c r="C778">
        <v>15108</v>
      </c>
      <c r="D778">
        <v>12.189999580383301</v>
      </c>
      <c r="E778">
        <v>89</v>
      </c>
      <c r="F778">
        <v>5</v>
      </c>
      <c r="G778">
        <v>158</v>
      </c>
      <c r="H778">
        <v>3043</v>
      </c>
      <c r="Q778" s="2"/>
      <c r="V778" s="2"/>
      <c r="Z778" s="2"/>
      <c r="AA778" s="2"/>
      <c r="AB778" s="2"/>
    </row>
    <row r="779" spans="1:28" x14ac:dyDescent="0.25">
      <c r="A779">
        <v>8053475328</v>
      </c>
      <c r="B779" s="1">
        <v>42481</v>
      </c>
      <c r="C779">
        <v>16057</v>
      </c>
      <c r="D779">
        <v>12.5100002288818</v>
      </c>
      <c r="E779">
        <v>100</v>
      </c>
      <c r="F779">
        <v>6</v>
      </c>
      <c r="G779">
        <v>170</v>
      </c>
      <c r="H779">
        <v>3103</v>
      </c>
      <c r="Q779" s="2"/>
      <c r="V779" s="2"/>
      <c r="Z779" s="2"/>
      <c r="AA779" s="2"/>
      <c r="AB779" s="2"/>
    </row>
    <row r="780" spans="1:28" x14ac:dyDescent="0.25">
      <c r="A780">
        <v>8053475328</v>
      </c>
      <c r="B780" s="1">
        <v>42482</v>
      </c>
      <c r="C780">
        <v>10520</v>
      </c>
      <c r="D780">
        <v>8.2899999618530291</v>
      </c>
      <c r="E780">
        <v>60</v>
      </c>
      <c r="F780">
        <v>3</v>
      </c>
      <c r="G780">
        <v>117</v>
      </c>
      <c r="H780">
        <v>2655</v>
      </c>
      <c r="Q780" s="2"/>
      <c r="V780" s="2"/>
      <c r="Z780" s="2"/>
      <c r="AA780" s="2"/>
      <c r="AB780" s="2"/>
    </row>
    <row r="781" spans="1:28" x14ac:dyDescent="0.25">
      <c r="A781">
        <v>8053475328</v>
      </c>
      <c r="B781" s="1">
        <v>42483</v>
      </c>
      <c r="C781">
        <v>22359</v>
      </c>
      <c r="D781">
        <v>17.190000534057599</v>
      </c>
      <c r="E781">
        <v>125</v>
      </c>
      <c r="F781">
        <v>14</v>
      </c>
      <c r="G781">
        <v>223</v>
      </c>
      <c r="H781">
        <v>3554</v>
      </c>
      <c r="Q781" s="2"/>
      <c r="V781" s="2"/>
      <c r="Z781" s="2"/>
      <c r="AA781" s="2"/>
      <c r="AB781" s="2"/>
    </row>
    <row r="782" spans="1:28" x14ac:dyDescent="0.25">
      <c r="A782">
        <v>8053475328</v>
      </c>
      <c r="B782" s="1">
        <v>42484</v>
      </c>
      <c r="C782">
        <v>22988</v>
      </c>
      <c r="D782">
        <v>17.950000762939499</v>
      </c>
      <c r="E782">
        <v>129</v>
      </c>
      <c r="F782">
        <v>33</v>
      </c>
      <c r="G782">
        <v>182</v>
      </c>
      <c r="H782">
        <v>3577</v>
      </c>
      <c r="Q782" s="2"/>
      <c r="V782" s="2"/>
      <c r="Z782" s="2"/>
      <c r="AA782" s="2"/>
      <c r="AB782" s="2"/>
    </row>
    <row r="783" spans="1:28" x14ac:dyDescent="0.25">
      <c r="A783">
        <v>8053475328</v>
      </c>
      <c r="B783" s="1">
        <v>42485</v>
      </c>
      <c r="C783">
        <v>20500</v>
      </c>
      <c r="D783">
        <v>15.689999580383301</v>
      </c>
      <c r="E783">
        <v>118</v>
      </c>
      <c r="F783">
        <v>9</v>
      </c>
      <c r="G783">
        <v>209</v>
      </c>
      <c r="H783">
        <v>3403</v>
      </c>
      <c r="Q783" s="2"/>
      <c r="V783" s="2"/>
      <c r="Z783" s="2"/>
      <c r="AA783" s="2"/>
      <c r="AB783" s="2"/>
    </row>
    <row r="784" spans="1:28" x14ac:dyDescent="0.25">
      <c r="A784">
        <v>8053475328</v>
      </c>
      <c r="B784" s="1">
        <v>42486</v>
      </c>
      <c r="C784">
        <v>12685</v>
      </c>
      <c r="D784">
        <v>9.6199998855590803</v>
      </c>
      <c r="E784">
        <v>68</v>
      </c>
      <c r="F784">
        <v>5</v>
      </c>
      <c r="G784">
        <v>185</v>
      </c>
      <c r="H784">
        <v>2846</v>
      </c>
      <c r="Q784" s="2"/>
      <c r="V784" s="2"/>
      <c r="Z784" s="2"/>
      <c r="AA784" s="2"/>
      <c r="AB784" s="2"/>
    </row>
    <row r="785" spans="1:28" x14ac:dyDescent="0.25">
      <c r="A785">
        <v>8053475328</v>
      </c>
      <c r="B785" s="1">
        <v>42487</v>
      </c>
      <c r="C785">
        <v>12422</v>
      </c>
      <c r="D785">
        <v>9.8199996948242205</v>
      </c>
      <c r="E785">
        <v>60</v>
      </c>
      <c r="F785">
        <v>10</v>
      </c>
      <c r="G785">
        <v>183</v>
      </c>
      <c r="H785">
        <v>2852</v>
      </c>
      <c r="Q785" s="2"/>
      <c r="V785" s="2"/>
      <c r="Z785" s="2"/>
      <c r="AA785" s="2"/>
      <c r="AB785" s="2"/>
    </row>
    <row r="786" spans="1:28" x14ac:dyDescent="0.25">
      <c r="A786">
        <v>8053475328</v>
      </c>
      <c r="B786" s="1">
        <v>42488</v>
      </c>
      <c r="C786">
        <v>15447</v>
      </c>
      <c r="D786">
        <v>12.3999996185303</v>
      </c>
      <c r="E786">
        <v>90</v>
      </c>
      <c r="F786">
        <v>9</v>
      </c>
      <c r="G786">
        <v>153</v>
      </c>
      <c r="H786">
        <v>3062</v>
      </c>
      <c r="Q786" s="2"/>
      <c r="V786" s="2"/>
      <c r="Z786" s="2"/>
      <c r="AA786" s="2"/>
      <c r="AB786" s="2"/>
    </row>
    <row r="787" spans="1:28" x14ac:dyDescent="0.25">
      <c r="A787">
        <v>8053475328</v>
      </c>
      <c r="B787" s="1">
        <v>42489</v>
      </c>
      <c r="C787">
        <v>12315</v>
      </c>
      <c r="D787">
        <v>9.6499996185302699</v>
      </c>
      <c r="E787">
        <v>58</v>
      </c>
      <c r="F787">
        <v>8</v>
      </c>
      <c r="G787">
        <v>159</v>
      </c>
      <c r="H787">
        <v>2794</v>
      </c>
      <c r="Q787" s="2"/>
      <c r="V787" s="2"/>
      <c r="Z787" s="2"/>
      <c r="AA787" s="2"/>
      <c r="AB787" s="2"/>
    </row>
    <row r="788" spans="1:28" x14ac:dyDescent="0.25">
      <c r="A788">
        <v>8053475328</v>
      </c>
      <c r="B788" s="1">
        <v>42490</v>
      </c>
      <c r="C788">
        <v>7135</v>
      </c>
      <c r="D788">
        <v>5.5900001525878897</v>
      </c>
      <c r="E788">
        <v>27</v>
      </c>
      <c r="F788">
        <v>1</v>
      </c>
      <c r="G788">
        <v>131</v>
      </c>
      <c r="H788">
        <v>2408</v>
      </c>
      <c r="Q788" s="2"/>
      <c r="V788" s="2"/>
      <c r="Z788" s="2"/>
      <c r="AA788" s="2"/>
      <c r="AB788" s="2"/>
    </row>
    <row r="789" spans="1:28" x14ac:dyDescent="0.25">
      <c r="A789">
        <v>8053475328</v>
      </c>
      <c r="B789" s="1">
        <v>42491</v>
      </c>
      <c r="C789">
        <v>1170</v>
      </c>
      <c r="D789">
        <v>0.85000002384185802</v>
      </c>
      <c r="E789">
        <v>0</v>
      </c>
      <c r="F789">
        <v>0</v>
      </c>
      <c r="G789">
        <v>51</v>
      </c>
      <c r="H789">
        <v>1886</v>
      </c>
      <c r="Q789" s="2"/>
      <c r="V789" s="2"/>
      <c r="Z789" s="2"/>
      <c r="AA789" s="2"/>
      <c r="AB789" s="2"/>
    </row>
    <row r="790" spans="1:28" x14ac:dyDescent="0.25">
      <c r="A790">
        <v>8053475328</v>
      </c>
      <c r="B790" s="1">
        <v>42492</v>
      </c>
      <c r="C790">
        <v>1969</v>
      </c>
      <c r="D790">
        <v>1.4299999475479099</v>
      </c>
      <c r="E790">
        <v>0</v>
      </c>
      <c r="F790">
        <v>0</v>
      </c>
      <c r="G790">
        <v>95</v>
      </c>
      <c r="H790">
        <v>1988</v>
      </c>
      <c r="Q790" s="2"/>
      <c r="V790" s="2"/>
      <c r="Z790" s="2"/>
      <c r="AA790" s="2"/>
      <c r="AB790" s="2"/>
    </row>
    <row r="791" spans="1:28" x14ac:dyDescent="0.25">
      <c r="A791">
        <v>8053475328</v>
      </c>
      <c r="B791" s="1">
        <v>42493</v>
      </c>
      <c r="C791">
        <v>15484</v>
      </c>
      <c r="D791">
        <v>11.8999996185303</v>
      </c>
      <c r="E791">
        <v>87</v>
      </c>
      <c r="F791">
        <v>22</v>
      </c>
      <c r="G791">
        <v>165</v>
      </c>
      <c r="H791">
        <v>3023</v>
      </c>
      <c r="Q791" s="2"/>
      <c r="V791" s="2"/>
      <c r="Z791" s="2"/>
      <c r="AA791" s="2"/>
      <c r="AB791" s="2"/>
    </row>
    <row r="792" spans="1:28" x14ac:dyDescent="0.25">
      <c r="A792">
        <v>8053475328</v>
      </c>
      <c r="B792" s="1">
        <v>42494</v>
      </c>
      <c r="C792">
        <v>14581</v>
      </c>
      <c r="D792">
        <v>11.1499996185303</v>
      </c>
      <c r="E792">
        <v>89</v>
      </c>
      <c r="F792">
        <v>8</v>
      </c>
      <c r="G792">
        <v>123</v>
      </c>
      <c r="H792">
        <v>2918</v>
      </c>
      <c r="Q792" s="2"/>
      <c r="V792" s="2"/>
      <c r="Z792" s="2"/>
      <c r="AA792" s="2"/>
      <c r="AB792" s="2"/>
    </row>
    <row r="793" spans="1:28" x14ac:dyDescent="0.25">
      <c r="A793">
        <v>8053475328</v>
      </c>
      <c r="B793" s="1">
        <v>42495</v>
      </c>
      <c r="C793">
        <v>14990</v>
      </c>
      <c r="D793">
        <v>11.5100002288818</v>
      </c>
      <c r="E793">
        <v>93</v>
      </c>
      <c r="F793">
        <v>9</v>
      </c>
      <c r="G793">
        <v>130</v>
      </c>
      <c r="H793">
        <v>2950</v>
      </c>
      <c r="Q793" s="2"/>
      <c r="V793" s="2"/>
      <c r="Z793" s="2"/>
      <c r="AA793" s="2"/>
      <c r="AB793" s="2"/>
    </row>
    <row r="794" spans="1:28" x14ac:dyDescent="0.25">
      <c r="A794">
        <v>8053475328</v>
      </c>
      <c r="B794" s="1">
        <v>42496</v>
      </c>
      <c r="C794">
        <v>13953</v>
      </c>
      <c r="D794">
        <v>11</v>
      </c>
      <c r="E794">
        <v>90</v>
      </c>
      <c r="F794">
        <v>15</v>
      </c>
      <c r="G794">
        <v>90</v>
      </c>
      <c r="H794">
        <v>2859</v>
      </c>
      <c r="Q794" s="2"/>
      <c r="V794" s="2"/>
      <c r="Z794" s="2"/>
      <c r="AA794" s="2"/>
      <c r="AB794" s="2"/>
    </row>
    <row r="795" spans="1:28" x14ac:dyDescent="0.25">
      <c r="A795">
        <v>8053475328</v>
      </c>
      <c r="B795" s="1">
        <v>42497</v>
      </c>
      <c r="C795">
        <v>19769</v>
      </c>
      <c r="D795">
        <v>15.670000076293899</v>
      </c>
      <c r="E795">
        <v>121</v>
      </c>
      <c r="F795">
        <v>20</v>
      </c>
      <c r="G795">
        <v>148</v>
      </c>
      <c r="H795">
        <v>3331</v>
      </c>
      <c r="Q795" s="2"/>
      <c r="V795" s="2"/>
      <c r="Z795" s="2"/>
      <c r="AA795" s="2"/>
      <c r="AB795" s="2"/>
    </row>
    <row r="796" spans="1:28" x14ac:dyDescent="0.25">
      <c r="A796">
        <v>8053475328</v>
      </c>
      <c r="B796" s="1">
        <v>42498</v>
      </c>
      <c r="C796">
        <v>22026</v>
      </c>
      <c r="D796">
        <v>17.649999618530298</v>
      </c>
      <c r="E796">
        <v>125</v>
      </c>
      <c r="F796">
        <v>14</v>
      </c>
      <c r="G796">
        <v>228</v>
      </c>
      <c r="H796">
        <v>3589</v>
      </c>
      <c r="Q796" s="2"/>
      <c r="V796" s="2"/>
      <c r="Z796" s="2"/>
      <c r="AA796" s="2"/>
      <c r="AB796" s="2"/>
    </row>
    <row r="797" spans="1:28" x14ac:dyDescent="0.25">
      <c r="A797">
        <v>8053475328</v>
      </c>
      <c r="B797" s="1">
        <v>42499</v>
      </c>
      <c r="C797">
        <v>12465</v>
      </c>
      <c r="D797">
        <v>9.3800001144409197</v>
      </c>
      <c r="E797">
        <v>66</v>
      </c>
      <c r="F797">
        <v>12</v>
      </c>
      <c r="G797">
        <v>148</v>
      </c>
      <c r="H797">
        <v>2765</v>
      </c>
      <c r="Q797" s="2"/>
      <c r="V797" s="2"/>
      <c r="Z797" s="2"/>
      <c r="AA797" s="2"/>
      <c r="AB797" s="2"/>
    </row>
    <row r="798" spans="1:28" x14ac:dyDescent="0.25">
      <c r="A798">
        <v>8053475328</v>
      </c>
      <c r="B798" s="1">
        <v>42500</v>
      </c>
      <c r="C798">
        <v>14810</v>
      </c>
      <c r="D798">
        <v>11.3599996566772</v>
      </c>
      <c r="E798">
        <v>96</v>
      </c>
      <c r="F798">
        <v>10</v>
      </c>
      <c r="G798">
        <v>115</v>
      </c>
      <c r="H798">
        <v>2926</v>
      </c>
      <c r="Q798" s="2"/>
      <c r="V798" s="2"/>
      <c r="Z798" s="2"/>
      <c r="AA798" s="2"/>
      <c r="AB798" s="2"/>
    </row>
    <row r="799" spans="1:28" x14ac:dyDescent="0.25">
      <c r="A799">
        <v>8053475328</v>
      </c>
      <c r="B799" s="1">
        <v>42501</v>
      </c>
      <c r="C799">
        <v>12209</v>
      </c>
      <c r="D799">
        <v>9.3999996185302699</v>
      </c>
      <c r="E799">
        <v>60</v>
      </c>
      <c r="F799">
        <v>7</v>
      </c>
      <c r="G799">
        <v>184</v>
      </c>
      <c r="H799">
        <v>2809</v>
      </c>
      <c r="Q799" s="2"/>
      <c r="V799" s="2"/>
      <c r="Z799" s="2"/>
      <c r="AA799" s="2"/>
      <c r="AB799" s="2"/>
    </row>
    <row r="800" spans="1:28" x14ac:dyDescent="0.25">
      <c r="A800">
        <v>8053475328</v>
      </c>
      <c r="B800" s="1">
        <v>42502</v>
      </c>
      <c r="C800">
        <v>4998</v>
      </c>
      <c r="D800">
        <v>3.9100000858306898</v>
      </c>
      <c r="E800">
        <v>28</v>
      </c>
      <c r="F800">
        <v>4</v>
      </c>
      <c r="G800">
        <v>39</v>
      </c>
      <c r="H800">
        <v>1505</v>
      </c>
      <c r="Q800" s="2"/>
      <c r="V800" s="2"/>
      <c r="Z800" s="2"/>
      <c r="AA800" s="2"/>
      <c r="AB800" s="2"/>
    </row>
    <row r="801" spans="1:28" x14ac:dyDescent="0.25">
      <c r="A801">
        <v>8253242879</v>
      </c>
      <c r="B801" s="1">
        <v>42472</v>
      </c>
      <c r="C801">
        <v>9033</v>
      </c>
      <c r="D801">
        <v>7.1599998474121103</v>
      </c>
      <c r="E801">
        <v>40</v>
      </c>
      <c r="F801">
        <v>2</v>
      </c>
      <c r="G801">
        <v>154</v>
      </c>
      <c r="H801">
        <v>2044</v>
      </c>
      <c r="Q801" s="2"/>
      <c r="V801" s="2"/>
      <c r="Z801" s="2"/>
      <c r="AA801" s="2"/>
      <c r="AB801" s="2"/>
    </row>
    <row r="802" spans="1:28" x14ac:dyDescent="0.25">
      <c r="A802">
        <v>8253242879</v>
      </c>
      <c r="B802" s="1">
        <v>42473</v>
      </c>
      <c r="C802">
        <v>8053</v>
      </c>
      <c r="D802">
        <v>6.0999999046325701</v>
      </c>
      <c r="E802">
        <v>35</v>
      </c>
      <c r="F802">
        <v>11</v>
      </c>
      <c r="G802">
        <v>96</v>
      </c>
      <c r="H802">
        <v>1935</v>
      </c>
      <c r="Q802" s="2"/>
      <c r="V802" s="2"/>
      <c r="Z802" s="2"/>
      <c r="AA802" s="2"/>
      <c r="AB802" s="2"/>
    </row>
    <row r="803" spans="1:28" x14ac:dyDescent="0.25">
      <c r="A803">
        <v>8253242879</v>
      </c>
      <c r="B803" s="1">
        <v>42474</v>
      </c>
      <c r="C803">
        <v>5234</v>
      </c>
      <c r="D803">
        <v>3.46000003814697</v>
      </c>
      <c r="E803">
        <v>29</v>
      </c>
      <c r="F803">
        <v>16</v>
      </c>
      <c r="G803">
        <v>33</v>
      </c>
      <c r="H803">
        <v>1705</v>
      </c>
      <c r="Q803" s="2"/>
      <c r="V803" s="2"/>
      <c r="Z803" s="2"/>
      <c r="AA803" s="2"/>
      <c r="AB803" s="2"/>
    </row>
    <row r="804" spans="1:28" x14ac:dyDescent="0.25">
      <c r="A804">
        <v>8253242879</v>
      </c>
      <c r="B804" s="1">
        <v>42475</v>
      </c>
      <c r="C804">
        <v>2672</v>
      </c>
      <c r="D804">
        <v>1.7699999809265099</v>
      </c>
      <c r="E804">
        <v>0</v>
      </c>
      <c r="F804">
        <v>0</v>
      </c>
      <c r="G804">
        <v>105</v>
      </c>
      <c r="H804">
        <v>1632</v>
      </c>
      <c r="Q804" s="2"/>
      <c r="V804" s="2"/>
      <c r="Z804" s="2"/>
      <c r="AA804" s="2"/>
      <c r="AB804" s="2"/>
    </row>
    <row r="805" spans="1:28" x14ac:dyDescent="0.25">
      <c r="A805">
        <v>8253242879</v>
      </c>
      <c r="B805" s="1">
        <v>42476</v>
      </c>
      <c r="C805">
        <v>9256</v>
      </c>
      <c r="D805">
        <v>6.1399998664856001</v>
      </c>
      <c r="E805">
        <v>6</v>
      </c>
      <c r="F805">
        <v>51</v>
      </c>
      <c r="G805">
        <v>115</v>
      </c>
      <c r="H805">
        <v>1880</v>
      </c>
      <c r="Q805" s="2"/>
      <c r="V805" s="2"/>
      <c r="Z805" s="2"/>
      <c r="AA805" s="2"/>
      <c r="AB805" s="2"/>
    </row>
    <row r="806" spans="1:28" x14ac:dyDescent="0.25">
      <c r="A806">
        <v>8253242879</v>
      </c>
      <c r="B806" s="1">
        <v>42477</v>
      </c>
      <c r="C806">
        <v>10204</v>
      </c>
      <c r="D806">
        <v>7.9099998474121103</v>
      </c>
      <c r="E806">
        <v>41</v>
      </c>
      <c r="F806">
        <v>5</v>
      </c>
      <c r="G806">
        <v>157</v>
      </c>
      <c r="H806">
        <v>2112</v>
      </c>
      <c r="Q806" s="2"/>
      <c r="V806" s="2"/>
      <c r="Z806" s="2"/>
      <c r="AA806" s="2"/>
      <c r="AB806" s="2"/>
    </row>
    <row r="807" spans="1:28" x14ac:dyDescent="0.25">
      <c r="A807">
        <v>8253242879</v>
      </c>
      <c r="B807" s="1">
        <v>42478</v>
      </c>
      <c r="C807">
        <v>5151</v>
      </c>
      <c r="D807">
        <v>3.4800000190734899</v>
      </c>
      <c r="E807">
        <v>16</v>
      </c>
      <c r="F807">
        <v>16</v>
      </c>
      <c r="G807">
        <v>130</v>
      </c>
      <c r="H807">
        <v>1829</v>
      </c>
      <c r="Q807" s="2"/>
      <c r="V807" s="2"/>
      <c r="Z807" s="2"/>
      <c r="AA807" s="2"/>
      <c r="AB807" s="2"/>
    </row>
    <row r="808" spans="1:28" x14ac:dyDescent="0.25">
      <c r="A808">
        <v>8253242879</v>
      </c>
      <c r="B808" s="1">
        <v>42479</v>
      </c>
      <c r="C808">
        <v>4212</v>
      </c>
      <c r="D808">
        <v>2.7799999713897701</v>
      </c>
      <c r="E808">
        <v>0</v>
      </c>
      <c r="F808">
        <v>0</v>
      </c>
      <c r="G808">
        <v>164</v>
      </c>
      <c r="H808">
        <v>1763</v>
      </c>
      <c r="Q808" s="2"/>
      <c r="V808" s="2"/>
      <c r="Z808" s="2"/>
      <c r="AA808" s="2"/>
      <c r="AB808" s="2"/>
    </row>
    <row r="809" spans="1:28" x14ac:dyDescent="0.25">
      <c r="A809">
        <v>8253242879</v>
      </c>
      <c r="B809" s="1">
        <v>42480</v>
      </c>
      <c r="C809">
        <v>6466</v>
      </c>
      <c r="D809">
        <v>4.2699999809265101</v>
      </c>
      <c r="E809">
        <v>5</v>
      </c>
      <c r="F809">
        <v>18</v>
      </c>
      <c r="G809">
        <v>216</v>
      </c>
      <c r="H809">
        <v>1931</v>
      </c>
      <c r="Q809" s="2"/>
      <c r="V809" s="2"/>
      <c r="Z809" s="2"/>
      <c r="AA809" s="2"/>
      <c r="AB809" s="2"/>
    </row>
    <row r="810" spans="1:28" x14ac:dyDescent="0.25">
      <c r="A810">
        <v>8253242879</v>
      </c>
      <c r="B810" s="1">
        <v>42481</v>
      </c>
      <c r="C810">
        <v>11268</v>
      </c>
      <c r="D810">
        <v>8.5600004196166992</v>
      </c>
      <c r="E810">
        <v>49</v>
      </c>
      <c r="F810">
        <v>20</v>
      </c>
      <c r="G810">
        <v>172</v>
      </c>
      <c r="H810">
        <v>2218</v>
      </c>
      <c r="Q810" s="2"/>
      <c r="V810" s="2"/>
      <c r="Z810" s="2"/>
      <c r="AA810" s="2"/>
      <c r="AB810" s="2"/>
    </row>
    <row r="811" spans="1:28" x14ac:dyDescent="0.25">
      <c r="A811">
        <v>8253242879</v>
      </c>
      <c r="B811" s="1">
        <v>42482</v>
      </c>
      <c r="C811">
        <v>2824</v>
      </c>
      <c r="D811">
        <v>1.87000000476837</v>
      </c>
      <c r="E811">
        <v>0</v>
      </c>
      <c r="F811">
        <v>0</v>
      </c>
      <c r="G811">
        <v>120</v>
      </c>
      <c r="H811">
        <v>1651</v>
      </c>
      <c r="Q811" s="2"/>
      <c r="V811" s="2"/>
      <c r="Z811" s="2"/>
      <c r="AA811" s="2"/>
      <c r="AB811" s="2"/>
    </row>
    <row r="812" spans="1:28" x14ac:dyDescent="0.25">
      <c r="A812">
        <v>8253242879</v>
      </c>
      <c r="B812" s="1">
        <v>42483</v>
      </c>
      <c r="C812">
        <v>9282</v>
      </c>
      <c r="D812">
        <v>6.2600002288818404</v>
      </c>
      <c r="E812">
        <v>30</v>
      </c>
      <c r="F812">
        <v>26</v>
      </c>
      <c r="G812">
        <v>191</v>
      </c>
      <c r="H812">
        <v>2132</v>
      </c>
      <c r="Q812" s="2"/>
      <c r="V812" s="2"/>
      <c r="Z812" s="2"/>
      <c r="AA812" s="2"/>
      <c r="AB812" s="2"/>
    </row>
    <row r="813" spans="1:28" x14ac:dyDescent="0.25">
      <c r="A813">
        <v>8253242879</v>
      </c>
      <c r="B813" s="1">
        <v>42484</v>
      </c>
      <c r="C813">
        <v>8905</v>
      </c>
      <c r="D813">
        <v>7.1300001144409197</v>
      </c>
      <c r="E813">
        <v>41</v>
      </c>
      <c r="F813">
        <v>4</v>
      </c>
      <c r="G813">
        <v>82</v>
      </c>
      <c r="H813">
        <v>1976</v>
      </c>
      <c r="Q813" s="2"/>
      <c r="V813" s="2"/>
      <c r="Z813" s="2"/>
      <c r="AA813" s="2"/>
      <c r="AB813" s="2"/>
    </row>
    <row r="814" spans="1:28" x14ac:dyDescent="0.25">
      <c r="A814">
        <v>8253242879</v>
      </c>
      <c r="B814" s="1">
        <v>42485</v>
      </c>
      <c r="C814">
        <v>6829</v>
      </c>
      <c r="D814">
        <v>4.5100002288818404</v>
      </c>
      <c r="E814">
        <v>7</v>
      </c>
      <c r="F814">
        <v>54</v>
      </c>
      <c r="G814">
        <v>118</v>
      </c>
      <c r="H814">
        <v>1909</v>
      </c>
      <c r="Q814" s="2"/>
      <c r="V814" s="2"/>
      <c r="Z814" s="2"/>
      <c r="AA814" s="2"/>
      <c r="AB814" s="2"/>
    </row>
    <row r="815" spans="1:28" x14ac:dyDescent="0.25">
      <c r="A815">
        <v>8253242879</v>
      </c>
      <c r="B815" s="1">
        <v>42486</v>
      </c>
      <c r="C815">
        <v>4562</v>
      </c>
      <c r="D815">
        <v>3.03999996185303</v>
      </c>
      <c r="E815">
        <v>19</v>
      </c>
      <c r="F815">
        <v>14</v>
      </c>
      <c r="G815">
        <v>108</v>
      </c>
      <c r="H815">
        <v>1813</v>
      </c>
      <c r="Q815" s="2"/>
      <c r="V815" s="2"/>
      <c r="Z815" s="2"/>
      <c r="AA815" s="2"/>
      <c r="AB815" s="2"/>
    </row>
    <row r="816" spans="1:28" x14ac:dyDescent="0.25">
      <c r="A816">
        <v>8253242879</v>
      </c>
      <c r="B816" s="1">
        <v>42487</v>
      </c>
      <c r="C816">
        <v>10232</v>
      </c>
      <c r="D816">
        <v>8.1800003051757795</v>
      </c>
      <c r="E816">
        <v>45</v>
      </c>
      <c r="F816">
        <v>5</v>
      </c>
      <c r="G816">
        <v>104</v>
      </c>
      <c r="H816">
        <v>2008</v>
      </c>
      <c r="Q816" s="2"/>
      <c r="V816" s="2"/>
      <c r="Z816" s="2"/>
      <c r="AA816" s="2"/>
      <c r="AB816" s="2"/>
    </row>
    <row r="817" spans="1:28" x14ac:dyDescent="0.25">
      <c r="A817">
        <v>8253242879</v>
      </c>
      <c r="B817" s="1">
        <v>42488</v>
      </c>
      <c r="C817">
        <v>2718</v>
      </c>
      <c r="D817">
        <v>1.79999995231628</v>
      </c>
      <c r="E817">
        <v>11</v>
      </c>
      <c r="F817">
        <v>16</v>
      </c>
      <c r="G817">
        <v>20</v>
      </c>
      <c r="H817">
        <v>1580</v>
      </c>
      <c r="Q817" s="2"/>
      <c r="V817" s="2"/>
      <c r="Z817" s="2"/>
      <c r="AA817" s="2"/>
      <c r="AB817" s="2"/>
    </row>
    <row r="818" spans="1:28" x14ac:dyDescent="0.25">
      <c r="A818">
        <v>8253242879</v>
      </c>
      <c r="B818" s="1">
        <v>42489</v>
      </c>
      <c r="C818">
        <v>6260</v>
      </c>
      <c r="D818">
        <v>4.2600002288818404</v>
      </c>
      <c r="E818">
        <v>16</v>
      </c>
      <c r="F818">
        <v>14</v>
      </c>
      <c r="G818">
        <v>136</v>
      </c>
      <c r="H818">
        <v>1854</v>
      </c>
      <c r="Q818" s="2"/>
      <c r="V818" s="2"/>
      <c r="Z818" s="2"/>
      <c r="AA818" s="2"/>
      <c r="AB818" s="2"/>
    </row>
    <row r="819" spans="1:28" x14ac:dyDescent="0.25">
      <c r="A819">
        <v>8253242879</v>
      </c>
      <c r="B819" s="1">
        <v>42490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Q819" s="2"/>
      <c r="V819" s="2"/>
      <c r="Z819" s="2"/>
      <c r="AA819" s="2"/>
      <c r="AB819" s="2"/>
    </row>
    <row r="820" spans="1:28" x14ac:dyDescent="0.25">
      <c r="A820">
        <v>8378563200</v>
      </c>
      <c r="B820" s="1">
        <v>42472</v>
      </c>
      <c r="C820">
        <v>7626</v>
      </c>
      <c r="D820">
        <v>6.0500001907348597</v>
      </c>
      <c r="E820">
        <v>65</v>
      </c>
      <c r="F820">
        <v>15</v>
      </c>
      <c r="G820">
        <v>156</v>
      </c>
      <c r="H820">
        <v>3635</v>
      </c>
      <c r="Q820" s="2"/>
      <c r="V820" s="2"/>
      <c r="Z820" s="2"/>
      <c r="AA820" s="2"/>
      <c r="AB820" s="2"/>
    </row>
    <row r="821" spans="1:28" x14ac:dyDescent="0.25">
      <c r="A821">
        <v>8378563200</v>
      </c>
      <c r="B821" s="1">
        <v>42473</v>
      </c>
      <c r="C821">
        <v>12386</v>
      </c>
      <c r="D821">
        <v>9.8199996948242205</v>
      </c>
      <c r="E821">
        <v>116</v>
      </c>
      <c r="F821">
        <v>14</v>
      </c>
      <c r="G821">
        <v>169</v>
      </c>
      <c r="H821">
        <v>4079</v>
      </c>
      <c r="Q821" s="2"/>
      <c r="V821" s="2"/>
      <c r="Z821" s="2"/>
      <c r="AA821" s="2"/>
      <c r="AB821" s="2"/>
    </row>
    <row r="822" spans="1:28" x14ac:dyDescent="0.25">
      <c r="A822">
        <v>8378563200</v>
      </c>
      <c r="B822" s="1">
        <v>42474</v>
      </c>
      <c r="C822">
        <v>13318</v>
      </c>
      <c r="D822">
        <v>10.560000419616699</v>
      </c>
      <c r="E822">
        <v>123</v>
      </c>
      <c r="F822">
        <v>21</v>
      </c>
      <c r="G822">
        <v>174</v>
      </c>
      <c r="H822">
        <v>4163</v>
      </c>
      <c r="Q822" s="2"/>
      <c r="V822" s="2"/>
      <c r="Z822" s="2"/>
      <c r="AA822" s="2"/>
      <c r="AB822" s="2"/>
    </row>
    <row r="823" spans="1:28" x14ac:dyDescent="0.25">
      <c r="A823">
        <v>8378563200</v>
      </c>
      <c r="B823" s="1">
        <v>42475</v>
      </c>
      <c r="C823">
        <v>14461</v>
      </c>
      <c r="D823">
        <v>11.4700002670288</v>
      </c>
      <c r="E823">
        <v>60</v>
      </c>
      <c r="F823">
        <v>23</v>
      </c>
      <c r="G823">
        <v>190</v>
      </c>
      <c r="H823">
        <v>3666</v>
      </c>
      <c r="Q823" s="2"/>
      <c r="V823" s="2"/>
      <c r="Z823" s="2"/>
      <c r="AA823" s="2"/>
      <c r="AB823" s="2"/>
    </row>
    <row r="824" spans="1:28" x14ac:dyDescent="0.25">
      <c r="A824">
        <v>8378563200</v>
      </c>
      <c r="B824" s="1">
        <v>42476</v>
      </c>
      <c r="C824">
        <v>11207</v>
      </c>
      <c r="D824">
        <v>8.8900003433227504</v>
      </c>
      <c r="E824">
        <v>64</v>
      </c>
      <c r="F824">
        <v>21</v>
      </c>
      <c r="G824">
        <v>142</v>
      </c>
      <c r="H824">
        <v>3363</v>
      </c>
      <c r="Q824" s="2"/>
      <c r="V824" s="2"/>
      <c r="Z824" s="2"/>
      <c r="AA824" s="2"/>
      <c r="AB824" s="2"/>
    </row>
    <row r="825" spans="1:28" x14ac:dyDescent="0.25">
      <c r="A825">
        <v>8378563200</v>
      </c>
      <c r="B825" s="1">
        <v>42477</v>
      </c>
      <c r="C825">
        <v>2132</v>
      </c>
      <c r="D825">
        <v>1.6900000572204601</v>
      </c>
      <c r="E825">
        <v>0</v>
      </c>
      <c r="F825">
        <v>0</v>
      </c>
      <c r="G825">
        <v>93</v>
      </c>
      <c r="H825">
        <v>2572</v>
      </c>
      <c r="Q825" s="2"/>
      <c r="V825" s="2"/>
      <c r="Z825" s="2"/>
      <c r="AA825" s="2"/>
      <c r="AB825" s="2"/>
    </row>
    <row r="826" spans="1:28" x14ac:dyDescent="0.25">
      <c r="A826">
        <v>8378563200</v>
      </c>
      <c r="B826" s="1">
        <v>42478</v>
      </c>
      <c r="C826">
        <v>13630</v>
      </c>
      <c r="D826">
        <v>10.810000419616699</v>
      </c>
      <c r="E826">
        <v>117</v>
      </c>
      <c r="F826">
        <v>10</v>
      </c>
      <c r="G826">
        <v>174</v>
      </c>
      <c r="H826">
        <v>4157</v>
      </c>
      <c r="Q826" s="2"/>
      <c r="V826" s="2"/>
      <c r="Z826" s="2"/>
      <c r="AA826" s="2"/>
      <c r="AB826" s="2"/>
    </row>
    <row r="827" spans="1:28" x14ac:dyDescent="0.25">
      <c r="A827">
        <v>8378563200</v>
      </c>
      <c r="B827" s="1">
        <v>42479</v>
      </c>
      <c r="C827">
        <v>13070</v>
      </c>
      <c r="D827">
        <v>10.3599996566772</v>
      </c>
      <c r="E827">
        <v>120</v>
      </c>
      <c r="F827">
        <v>19</v>
      </c>
      <c r="G827">
        <v>154</v>
      </c>
      <c r="H827">
        <v>4092</v>
      </c>
      <c r="Q827" s="2"/>
      <c r="V827" s="2"/>
      <c r="Z827" s="2"/>
      <c r="AA827" s="2"/>
      <c r="AB827" s="2"/>
    </row>
    <row r="828" spans="1:28" x14ac:dyDescent="0.25">
      <c r="A828">
        <v>8378563200</v>
      </c>
      <c r="B828" s="1">
        <v>42480</v>
      </c>
      <c r="C828">
        <v>9388</v>
      </c>
      <c r="D828">
        <v>7.4400000572204599</v>
      </c>
      <c r="E828">
        <v>82</v>
      </c>
      <c r="F828">
        <v>8</v>
      </c>
      <c r="G828">
        <v>169</v>
      </c>
      <c r="H828">
        <v>3787</v>
      </c>
      <c r="Q828" s="2"/>
      <c r="V828" s="2"/>
      <c r="Z828" s="2"/>
      <c r="AA828" s="2"/>
      <c r="AB828" s="2"/>
    </row>
    <row r="829" spans="1:28" x14ac:dyDescent="0.25">
      <c r="A829">
        <v>8378563200</v>
      </c>
      <c r="B829" s="1">
        <v>42481</v>
      </c>
      <c r="C829">
        <v>15148</v>
      </c>
      <c r="D829">
        <v>12.0100002288818</v>
      </c>
      <c r="E829">
        <v>137</v>
      </c>
      <c r="F829">
        <v>16</v>
      </c>
      <c r="G829">
        <v>145</v>
      </c>
      <c r="H829">
        <v>4236</v>
      </c>
      <c r="Q829" s="2"/>
      <c r="V829" s="2"/>
      <c r="Z829" s="2"/>
      <c r="AA829" s="2"/>
      <c r="AB829" s="2"/>
    </row>
    <row r="830" spans="1:28" x14ac:dyDescent="0.25">
      <c r="A830">
        <v>8378563200</v>
      </c>
      <c r="B830" s="1">
        <v>42482</v>
      </c>
      <c r="C830">
        <v>12200</v>
      </c>
      <c r="D830">
        <v>9.6700000762939506</v>
      </c>
      <c r="E830">
        <v>113</v>
      </c>
      <c r="F830">
        <v>12</v>
      </c>
      <c r="G830">
        <v>159</v>
      </c>
      <c r="H830">
        <v>4044</v>
      </c>
      <c r="Q830" s="2"/>
      <c r="V830" s="2"/>
      <c r="Z830" s="2"/>
      <c r="AA830" s="2"/>
      <c r="AB830" s="2"/>
    </row>
    <row r="831" spans="1:28" x14ac:dyDescent="0.25">
      <c r="A831">
        <v>8378563200</v>
      </c>
      <c r="B831" s="1">
        <v>42483</v>
      </c>
      <c r="C831">
        <v>5709</v>
      </c>
      <c r="D831">
        <v>4.5300002098083496</v>
      </c>
      <c r="E831">
        <v>19</v>
      </c>
      <c r="F831">
        <v>10</v>
      </c>
      <c r="G831">
        <v>136</v>
      </c>
      <c r="H831">
        <v>2908</v>
      </c>
      <c r="Q831" s="2"/>
      <c r="V831" s="2"/>
      <c r="Z831" s="2"/>
      <c r="AA831" s="2"/>
      <c r="AB831" s="2"/>
    </row>
    <row r="832" spans="1:28" x14ac:dyDescent="0.25">
      <c r="A832">
        <v>8378563200</v>
      </c>
      <c r="B832" s="1">
        <v>42484</v>
      </c>
      <c r="C832">
        <v>3703</v>
      </c>
      <c r="D832">
        <v>2.9400000572204599</v>
      </c>
      <c r="E832">
        <v>0</v>
      </c>
      <c r="F832">
        <v>0</v>
      </c>
      <c r="G832">
        <v>135</v>
      </c>
      <c r="H832">
        <v>2741</v>
      </c>
      <c r="Q832" s="2"/>
      <c r="V832" s="2"/>
      <c r="Z832" s="2"/>
      <c r="AA832" s="2"/>
      <c r="AB832" s="2"/>
    </row>
    <row r="833" spans="1:28" x14ac:dyDescent="0.25">
      <c r="A833">
        <v>8378563200</v>
      </c>
      <c r="B833" s="1">
        <v>42485</v>
      </c>
      <c r="C833">
        <v>12405</v>
      </c>
      <c r="D833">
        <v>9.8400001525878906</v>
      </c>
      <c r="E833">
        <v>117</v>
      </c>
      <c r="F833">
        <v>16</v>
      </c>
      <c r="G833">
        <v>141</v>
      </c>
      <c r="H833">
        <v>4005</v>
      </c>
      <c r="Q833" s="2"/>
      <c r="V833" s="2"/>
      <c r="Z833" s="2"/>
      <c r="AA833" s="2"/>
      <c r="AB833" s="2"/>
    </row>
    <row r="834" spans="1:28" x14ac:dyDescent="0.25">
      <c r="A834">
        <v>8378563200</v>
      </c>
      <c r="B834" s="1">
        <v>42486</v>
      </c>
      <c r="C834">
        <v>16208</v>
      </c>
      <c r="D834">
        <v>12.8500003814697</v>
      </c>
      <c r="E834">
        <v>90</v>
      </c>
      <c r="F834">
        <v>18</v>
      </c>
      <c r="G834">
        <v>161</v>
      </c>
      <c r="H834">
        <v>3763</v>
      </c>
      <c r="Q834" s="2"/>
      <c r="V834" s="2"/>
      <c r="Z834" s="2"/>
      <c r="AA834" s="2"/>
      <c r="AB834" s="2"/>
    </row>
    <row r="835" spans="1:28" x14ac:dyDescent="0.25">
      <c r="A835">
        <v>8378563200</v>
      </c>
      <c r="B835" s="1">
        <v>42487</v>
      </c>
      <c r="C835">
        <v>7359</v>
      </c>
      <c r="D835">
        <v>5.8400001525878897</v>
      </c>
      <c r="E835">
        <v>4</v>
      </c>
      <c r="F835">
        <v>4</v>
      </c>
      <c r="G835">
        <v>192</v>
      </c>
      <c r="H835">
        <v>3061</v>
      </c>
      <c r="Q835" s="2"/>
      <c r="V835" s="2"/>
      <c r="Z835" s="2"/>
      <c r="AA835" s="2"/>
      <c r="AB835" s="2"/>
    </row>
    <row r="836" spans="1:28" x14ac:dyDescent="0.25">
      <c r="A836">
        <v>8378563200</v>
      </c>
      <c r="B836" s="1">
        <v>42488</v>
      </c>
      <c r="C836">
        <v>5417</v>
      </c>
      <c r="D836">
        <v>4.3000001907348597</v>
      </c>
      <c r="E836">
        <v>11</v>
      </c>
      <c r="F836">
        <v>10</v>
      </c>
      <c r="G836">
        <v>139</v>
      </c>
      <c r="H836">
        <v>2884</v>
      </c>
      <c r="Q836" s="2"/>
      <c r="V836" s="2"/>
      <c r="Z836" s="2"/>
      <c r="AA836" s="2"/>
      <c r="AB836" s="2"/>
    </row>
    <row r="837" spans="1:28" x14ac:dyDescent="0.25">
      <c r="A837">
        <v>8378563200</v>
      </c>
      <c r="B837" s="1">
        <v>42489</v>
      </c>
      <c r="C837">
        <v>6175</v>
      </c>
      <c r="D837">
        <v>4.9000000953674299</v>
      </c>
      <c r="E837">
        <v>3</v>
      </c>
      <c r="F837">
        <v>7</v>
      </c>
      <c r="G837">
        <v>172</v>
      </c>
      <c r="H837">
        <v>2982</v>
      </c>
      <c r="Q837" s="2"/>
      <c r="V837" s="2"/>
      <c r="Z837" s="2"/>
      <c r="AA837" s="2"/>
      <c r="AB837" s="2"/>
    </row>
    <row r="838" spans="1:28" x14ac:dyDescent="0.25">
      <c r="A838">
        <v>8378563200</v>
      </c>
      <c r="B838" s="1">
        <v>42490</v>
      </c>
      <c r="C838">
        <v>2946</v>
      </c>
      <c r="D838">
        <v>2.3399999141693102</v>
      </c>
      <c r="E838">
        <v>0</v>
      </c>
      <c r="F838">
        <v>0</v>
      </c>
      <c r="G838">
        <v>121</v>
      </c>
      <c r="H838">
        <v>2660</v>
      </c>
      <c r="Q838" s="2"/>
      <c r="V838" s="2"/>
      <c r="Z838" s="2"/>
      <c r="AA838" s="2"/>
      <c r="AB838" s="2"/>
    </row>
    <row r="839" spans="1:28" x14ac:dyDescent="0.25">
      <c r="A839">
        <v>8378563200</v>
      </c>
      <c r="B839" s="1">
        <v>42491</v>
      </c>
      <c r="C839">
        <v>11419</v>
      </c>
      <c r="D839">
        <v>9.0600004196166992</v>
      </c>
      <c r="E839">
        <v>71</v>
      </c>
      <c r="F839">
        <v>10</v>
      </c>
      <c r="G839">
        <v>127</v>
      </c>
      <c r="H839">
        <v>3369</v>
      </c>
      <c r="Q839" s="2"/>
      <c r="V839" s="2"/>
      <c r="Z839" s="2"/>
      <c r="AA839" s="2"/>
      <c r="AB839" s="2"/>
    </row>
    <row r="840" spans="1:28" x14ac:dyDescent="0.25">
      <c r="A840">
        <v>8378563200</v>
      </c>
      <c r="B840" s="1">
        <v>42492</v>
      </c>
      <c r="C840">
        <v>6064</v>
      </c>
      <c r="D840">
        <v>4.8099999427795401</v>
      </c>
      <c r="E840">
        <v>63</v>
      </c>
      <c r="F840">
        <v>4</v>
      </c>
      <c r="G840">
        <v>142</v>
      </c>
      <c r="H840">
        <v>3491</v>
      </c>
      <c r="Q840" s="2"/>
      <c r="V840" s="2"/>
      <c r="Z840" s="2"/>
      <c r="AA840" s="2"/>
      <c r="AB840" s="2"/>
    </row>
    <row r="841" spans="1:28" x14ac:dyDescent="0.25">
      <c r="A841">
        <v>8378563200</v>
      </c>
      <c r="B841" s="1">
        <v>42493</v>
      </c>
      <c r="C841">
        <v>8712</v>
      </c>
      <c r="D841">
        <v>6.9099998474121103</v>
      </c>
      <c r="E841">
        <v>71</v>
      </c>
      <c r="F841">
        <v>20</v>
      </c>
      <c r="G841">
        <v>195</v>
      </c>
      <c r="H841">
        <v>3784</v>
      </c>
      <c r="Q841" s="2"/>
      <c r="V841" s="2"/>
      <c r="Z841" s="2"/>
      <c r="AA841" s="2"/>
      <c r="AB841" s="2"/>
    </row>
    <row r="842" spans="1:28" x14ac:dyDescent="0.25">
      <c r="A842">
        <v>8378563200</v>
      </c>
      <c r="B842" s="1">
        <v>42494</v>
      </c>
      <c r="C842">
        <v>7875</v>
      </c>
      <c r="D842">
        <v>6.2399997711181596</v>
      </c>
      <c r="E842">
        <v>19</v>
      </c>
      <c r="F842">
        <v>10</v>
      </c>
      <c r="G842">
        <v>167</v>
      </c>
      <c r="H842">
        <v>3110</v>
      </c>
      <c r="Q842" s="2"/>
      <c r="V842" s="2"/>
      <c r="Z842" s="2"/>
      <c r="AA842" s="2"/>
      <c r="AB842" s="2"/>
    </row>
    <row r="843" spans="1:28" x14ac:dyDescent="0.25">
      <c r="A843">
        <v>8378563200</v>
      </c>
      <c r="B843" s="1">
        <v>42495</v>
      </c>
      <c r="C843">
        <v>8567</v>
      </c>
      <c r="D843">
        <v>6.78999996185303</v>
      </c>
      <c r="E843">
        <v>66</v>
      </c>
      <c r="F843">
        <v>3</v>
      </c>
      <c r="G843">
        <v>214</v>
      </c>
      <c r="H843">
        <v>3783</v>
      </c>
      <c r="Q843" s="2"/>
      <c r="V843" s="2"/>
      <c r="Z843" s="2"/>
      <c r="AA843" s="2"/>
      <c r="AB843" s="2"/>
    </row>
    <row r="844" spans="1:28" x14ac:dyDescent="0.25">
      <c r="A844">
        <v>8378563200</v>
      </c>
      <c r="B844" s="1">
        <v>42496</v>
      </c>
      <c r="C844">
        <v>7045</v>
      </c>
      <c r="D844">
        <v>5.5900001525878897</v>
      </c>
      <c r="E844">
        <v>74</v>
      </c>
      <c r="F844">
        <v>5</v>
      </c>
      <c r="G844">
        <v>166</v>
      </c>
      <c r="H844">
        <v>3644</v>
      </c>
      <c r="Q844" s="2"/>
      <c r="V844" s="2"/>
      <c r="Z844" s="2"/>
      <c r="AA844" s="2"/>
      <c r="AB844" s="2"/>
    </row>
    <row r="845" spans="1:28" x14ac:dyDescent="0.25">
      <c r="A845">
        <v>8378563200</v>
      </c>
      <c r="B845" s="1">
        <v>42497</v>
      </c>
      <c r="C845">
        <v>4468</v>
      </c>
      <c r="D845">
        <v>3.53999996185303</v>
      </c>
      <c r="E845">
        <v>0</v>
      </c>
      <c r="F845">
        <v>0</v>
      </c>
      <c r="G845">
        <v>158</v>
      </c>
      <c r="H845">
        <v>2799</v>
      </c>
      <c r="Q845" s="2"/>
      <c r="V845" s="2"/>
      <c r="Z845" s="2"/>
      <c r="AA845" s="2"/>
      <c r="AB845" s="2"/>
    </row>
    <row r="846" spans="1:28" x14ac:dyDescent="0.25">
      <c r="A846">
        <v>8378563200</v>
      </c>
      <c r="B846" s="1">
        <v>42498</v>
      </c>
      <c r="C846">
        <v>2943</v>
      </c>
      <c r="D846">
        <v>2.3299999237060498</v>
      </c>
      <c r="E846">
        <v>0</v>
      </c>
      <c r="F846">
        <v>0</v>
      </c>
      <c r="G846">
        <v>139</v>
      </c>
      <c r="H846">
        <v>2685</v>
      </c>
      <c r="Q846" s="2"/>
      <c r="V846" s="2"/>
      <c r="Z846" s="2"/>
      <c r="AA846" s="2"/>
      <c r="AB846" s="2"/>
    </row>
    <row r="847" spans="1:28" x14ac:dyDescent="0.25">
      <c r="A847">
        <v>8378563200</v>
      </c>
      <c r="B847" s="1">
        <v>42499</v>
      </c>
      <c r="C847">
        <v>8382</v>
      </c>
      <c r="D847">
        <v>6.6500000953674299</v>
      </c>
      <c r="E847">
        <v>71</v>
      </c>
      <c r="F847">
        <v>13</v>
      </c>
      <c r="G847">
        <v>171</v>
      </c>
      <c r="H847">
        <v>3721</v>
      </c>
      <c r="Q847" s="2"/>
      <c r="V847" s="2"/>
      <c r="Z847" s="2"/>
      <c r="AA847" s="2"/>
      <c r="AB847" s="2"/>
    </row>
    <row r="848" spans="1:28" x14ac:dyDescent="0.25">
      <c r="A848">
        <v>8378563200</v>
      </c>
      <c r="B848" s="1">
        <v>42500</v>
      </c>
      <c r="C848">
        <v>6582</v>
      </c>
      <c r="D848">
        <v>5.2199997901916504</v>
      </c>
      <c r="E848">
        <v>63</v>
      </c>
      <c r="F848">
        <v>13</v>
      </c>
      <c r="G848">
        <v>152</v>
      </c>
      <c r="H848">
        <v>3586</v>
      </c>
      <c r="Q848" s="2"/>
      <c r="V848" s="2"/>
      <c r="Z848" s="2"/>
      <c r="AA848" s="2"/>
      <c r="AB848" s="2"/>
    </row>
    <row r="849" spans="1:28" x14ac:dyDescent="0.25">
      <c r="A849">
        <v>8378563200</v>
      </c>
      <c r="B849" s="1">
        <v>42501</v>
      </c>
      <c r="C849">
        <v>9143</v>
      </c>
      <c r="D849">
        <v>7.25</v>
      </c>
      <c r="E849">
        <v>72</v>
      </c>
      <c r="F849">
        <v>10</v>
      </c>
      <c r="G849">
        <v>184</v>
      </c>
      <c r="H849">
        <v>3788</v>
      </c>
      <c r="Q849" s="2"/>
      <c r="V849" s="2"/>
      <c r="Z849" s="2"/>
      <c r="AA849" s="2"/>
      <c r="AB849" s="2"/>
    </row>
    <row r="850" spans="1:28" x14ac:dyDescent="0.25">
      <c r="A850">
        <v>8378563200</v>
      </c>
      <c r="B850" s="1">
        <v>42502</v>
      </c>
      <c r="C850">
        <v>4561</v>
      </c>
      <c r="D850">
        <v>3.6199998855590798</v>
      </c>
      <c r="E850">
        <v>8</v>
      </c>
      <c r="F850">
        <v>6</v>
      </c>
      <c r="G850">
        <v>102</v>
      </c>
      <c r="H850">
        <v>1976</v>
      </c>
      <c r="Q850" s="2"/>
      <c r="V850" s="2"/>
      <c r="Z850" s="2"/>
      <c r="AA850" s="2"/>
      <c r="AB850" s="2"/>
    </row>
    <row r="851" spans="1:28" x14ac:dyDescent="0.25">
      <c r="A851">
        <v>8583815059</v>
      </c>
      <c r="B851" s="1">
        <v>42472</v>
      </c>
      <c r="C851">
        <v>5014</v>
      </c>
      <c r="D851">
        <v>3.9100000858306898</v>
      </c>
      <c r="E851">
        <v>0</v>
      </c>
      <c r="F851">
        <v>7</v>
      </c>
      <c r="G851">
        <v>196</v>
      </c>
      <c r="H851">
        <v>2650</v>
      </c>
      <c r="Q851" s="2"/>
      <c r="V851" s="2"/>
      <c r="Z851" s="2"/>
      <c r="AA851" s="2"/>
      <c r="AB851" s="2"/>
    </row>
    <row r="852" spans="1:28" x14ac:dyDescent="0.25">
      <c r="A852">
        <v>8583815059</v>
      </c>
      <c r="B852" s="1">
        <v>42473</v>
      </c>
      <c r="C852">
        <v>5571</v>
      </c>
      <c r="D852">
        <v>4.3499999046325701</v>
      </c>
      <c r="E852">
        <v>2</v>
      </c>
      <c r="F852">
        <v>23</v>
      </c>
      <c r="G852">
        <v>163</v>
      </c>
      <c r="H852">
        <v>2654</v>
      </c>
      <c r="Q852" s="2"/>
      <c r="V852" s="2"/>
      <c r="Z852" s="2"/>
      <c r="AA852" s="2"/>
      <c r="AB852" s="2"/>
    </row>
    <row r="853" spans="1:28" x14ac:dyDescent="0.25">
      <c r="A853">
        <v>8583815059</v>
      </c>
      <c r="B853" s="1">
        <v>42474</v>
      </c>
      <c r="C853">
        <v>3135</v>
      </c>
      <c r="D853">
        <v>2.4500000476837198</v>
      </c>
      <c r="E853">
        <v>0</v>
      </c>
      <c r="F853">
        <v>0</v>
      </c>
      <c r="G853">
        <v>134</v>
      </c>
      <c r="H853">
        <v>2443</v>
      </c>
      <c r="Q853" s="2"/>
      <c r="V853" s="2"/>
      <c r="Z853" s="2"/>
      <c r="AA853" s="2"/>
      <c r="AB853" s="2"/>
    </row>
    <row r="854" spans="1:28" x14ac:dyDescent="0.25">
      <c r="A854">
        <v>8583815059</v>
      </c>
      <c r="B854" s="1">
        <v>42475</v>
      </c>
      <c r="C854">
        <v>3430</v>
      </c>
      <c r="D854">
        <v>2.6800000667571999</v>
      </c>
      <c r="E854">
        <v>0</v>
      </c>
      <c r="F854">
        <v>0</v>
      </c>
      <c r="G854">
        <v>65</v>
      </c>
      <c r="H854">
        <v>2505</v>
      </c>
      <c r="Q854" s="2"/>
      <c r="V854" s="2"/>
      <c r="Z854" s="2"/>
      <c r="AA854" s="2"/>
      <c r="AB854" s="2"/>
    </row>
    <row r="855" spans="1:28" x14ac:dyDescent="0.25">
      <c r="A855">
        <v>8583815059</v>
      </c>
      <c r="B855" s="1">
        <v>42476</v>
      </c>
      <c r="C855">
        <v>5319</v>
      </c>
      <c r="D855">
        <v>4.1500000953674299</v>
      </c>
      <c r="E855">
        <v>0</v>
      </c>
      <c r="F855">
        <v>0</v>
      </c>
      <c r="G855">
        <v>0</v>
      </c>
      <c r="H855">
        <v>2693</v>
      </c>
      <c r="Q855" s="2"/>
      <c r="V855" s="2"/>
      <c r="Z855" s="2"/>
      <c r="AA855" s="2"/>
      <c r="AB855" s="2"/>
    </row>
    <row r="856" spans="1:28" x14ac:dyDescent="0.25">
      <c r="A856">
        <v>8583815059</v>
      </c>
      <c r="B856" s="1">
        <v>42477</v>
      </c>
      <c r="C856">
        <v>3008</v>
      </c>
      <c r="D856">
        <v>2.3499999046325701</v>
      </c>
      <c r="E856">
        <v>0</v>
      </c>
      <c r="F856">
        <v>0</v>
      </c>
      <c r="G856">
        <v>0</v>
      </c>
      <c r="H856">
        <v>2439</v>
      </c>
      <c r="Q856" s="2"/>
      <c r="V856" s="2"/>
      <c r="Z856" s="2"/>
      <c r="AA856" s="2"/>
      <c r="AB856" s="2"/>
    </row>
    <row r="857" spans="1:28" x14ac:dyDescent="0.25">
      <c r="A857">
        <v>8583815059</v>
      </c>
      <c r="B857" s="1">
        <v>42478</v>
      </c>
      <c r="C857">
        <v>3864</v>
      </c>
      <c r="D857">
        <v>3.0099999904632599</v>
      </c>
      <c r="E857">
        <v>4</v>
      </c>
      <c r="F857">
        <v>22</v>
      </c>
      <c r="G857">
        <v>105</v>
      </c>
      <c r="H857">
        <v>2536</v>
      </c>
      <c r="Q857" s="2"/>
      <c r="V857" s="2"/>
      <c r="Z857" s="2"/>
      <c r="AA857" s="2"/>
      <c r="AB857" s="2"/>
    </row>
    <row r="858" spans="1:28" x14ac:dyDescent="0.25">
      <c r="A858">
        <v>8583815059</v>
      </c>
      <c r="B858" s="1">
        <v>42479</v>
      </c>
      <c r="C858">
        <v>5697</v>
      </c>
      <c r="D858">
        <v>4.4400000572204599</v>
      </c>
      <c r="E858">
        <v>7</v>
      </c>
      <c r="F858">
        <v>10</v>
      </c>
      <c r="G858">
        <v>166</v>
      </c>
      <c r="H858">
        <v>2668</v>
      </c>
      <c r="Q858" s="2"/>
      <c r="V858" s="2"/>
      <c r="Z858" s="2"/>
      <c r="AA858" s="2"/>
      <c r="AB858" s="2"/>
    </row>
    <row r="859" spans="1:28" x14ac:dyDescent="0.25">
      <c r="A859">
        <v>8583815059</v>
      </c>
      <c r="B859" s="1">
        <v>42480</v>
      </c>
      <c r="C859">
        <v>5273</v>
      </c>
      <c r="D859">
        <v>4.1100001335143999</v>
      </c>
      <c r="E859">
        <v>0</v>
      </c>
      <c r="F859">
        <v>27</v>
      </c>
      <c r="G859">
        <v>167</v>
      </c>
      <c r="H859">
        <v>2647</v>
      </c>
      <c r="Q859" s="2"/>
      <c r="V859" s="2"/>
      <c r="Z859" s="2"/>
      <c r="AA859" s="2"/>
      <c r="AB859" s="2"/>
    </row>
    <row r="860" spans="1:28" x14ac:dyDescent="0.25">
      <c r="A860">
        <v>8583815059</v>
      </c>
      <c r="B860" s="1">
        <v>42481</v>
      </c>
      <c r="C860">
        <v>8538</v>
      </c>
      <c r="D860">
        <v>6.6599998474121103</v>
      </c>
      <c r="E860">
        <v>35</v>
      </c>
      <c r="F860">
        <v>18</v>
      </c>
      <c r="G860">
        <v>158</v>
      </c>
      <c r="H860">
        <v>2883</v>
      </c>
      <c r="Q860" s="2"/>
      <c r="V860" s="2"/>
      <c r="Z860" s="2"/>
      <c r="AA860" s="2"/>
      <c r="AB860" s="2"/>
    </row>
    <row r="861" spans="1:28" x14ac:dyDescent="0.25">
      <c r="A861">
        <v>8583815059</v>
      </c>
      <c r="B861" s="1">
        <v>42482</v>
      </c>
      <c r="C861">
        <v>8687</v>
      </c>
      <c r="D861">
        <v>6.7800002098083496</v>
      </c>
      <c r="E861">
        <v>4</v>
      </c>
      <c r="F861">
        <v>54</v>
      </c>
      <c r="G861">
        <v>212</v>
      </c>
      <c r="H861">
        <v>2944</v>
      </c>
      <c r="Q861" s="2"/>
      <c r="V861" s="2"/>
      <c r="Z861" s="2"/>
      <c r="AA861" s="2"/>
      <c r="AB861" s="2"/>
    </row>
    <row r="862" spans="1:28" x14ac:dyDescent="0.25">
      <c r="A862">
        <v>8583815059</v>
      </c>
      <c r="B862" s="1">
        <v>42483</v>
      </c>
      <c r="C862">
        <v>9423</v>
      </c>
      <c r="D862">
        <v>7.3499999046325701</v>
      </c>
      <c r="E862">
        <v>7</v>
      </c>
      <c r="F862">
        <v>44</v>
      </c>
      <c r="G862">
        <v>238</v>
      </c>
      <c r="H862">
        <v>3012</v>
      </c>
      <c r="Q862" s="2"/>
      <c r="V862" s="2"/>
      <c r="Z862" s="2"/>
      <c r="AA862" s="2"/>
      <c r="AB862" s="2"/>
    </row>
    <row r="863" spans="1:28" x14ac:dyDescent="0.25">
      <c r="A863">
        <v>8583815059</v>
      </c>
      <c r="B863" s="1">
        <v>42484</v>
      </c>
      <c r="C863">
        <v>8286</v>
      </c>
      <c r="D863">
        <v>6.46000003814697</v>
      </c>
      <c r="E863">
        <v>2</v>
      </c>
      <c r="F863">
        <v>44</v>
      </c>
      <c r="G863">
        <v>206</v>
      </c>
      <c r="H863">
        <v>2889</v>
      </c>
      <c r="Q863" s="2"/>
      <c r="V863" s="2"/>
      <c r="Z863" s="2"/>
      <c r="AA863" s="2"/>
      <c r="AB863" s="2"/>
    </row>
    <row r="864" spans="1:28" x14ac:dyDescent="0.25">
      <c r="A864">
        <v>8583815059</v>
      </c>
      <c r="B864" s="1">
        <v>42485</v>
      </c>
      <c r="C864">
        <v>4503</v>
      </c>
      <c r="D864">
        <v>3.5099999904632599</v>
      </c>
      <c r="E864">
        <v>18</v>
      </c>
      <c r="F864">
        <v>6</v>
      </c>
      <c r="G864">
        <v>122</v>
      </c>
      <c r="H864">
        <v>2547</v>
      </c>
      <c r="Q864" s="2"/>
      <c r="V864" s="2"/>
      <c r="Z864" s="2"/>
      <c r="AA864" s="2"/>
      <c r="AB864" s="2"/>
    </row>
    <row r="865" spans="1:28" x14ac:dyDescent="0.25">
      <c r="A865">
        <v>8583815059</v>
      </c>
      <c r="B865" s="1">
        <v>42486</v>
      </c>
      <c r="C865">
        <v>10499</v>
      </c>
      <c r="D865">
        <v>8.1899995803833008</v>
      </c>
      <c r="E865">
        <v>1</v>
      </c>
      <c r="F865">
        <v>91</v>
      </c>
      <c r="G865">
        <v>214</v>
      </c>
      <c r="H865">
        <v>3093</v>
      </c>
      <c r="Q865" s="2"/>
      <c r="V865" s="2"/>
      <c r="Z865" s="2"/>
      <c r="AA865" s="2"/>
      <c r="AB865" s="2"/>
    </row>
    <row r="866" spans="1:28" x14ac:dyDescent="0.25">
      <c r="A866">
        <v>8583815059</v>
      </c>
      <c r="B866" s="1">
        <v>42487</v>
      </c>
      <c r="C866">
        <v>12474</v>
      </c>
      <c r="D866">
        <v>9.7299995422363299</v>
      </c>
      <c r="E866">
        <v>77</v>
      </c>
      <c r="F866">
        <v>5</v>
      </c>
      <c r="G866">
        <v>129</v>
      </c>
      <c r="H866">
        <v>3142</v>
      </c>
      <c r="Q866" s="2"/>
      <c r="V866" s="2"/>
      <c r="Z866" s="2"/>
      <c r="AA866" s="2"/>
      <c r="AB866" s="2"/>
    </row>
    <row r="867" spans="1:28" x14ac:dyDescent="0.25">
      <c r="A867">
        <v>8583815059</v>
      </c>
      <c r="B867" s="1">
        <v>42488</v>
      </c>
      <c r="C867">
        <v>6174</v>
      </c>
      <c r="D867">
        <v>4.8200001716613796</v>
      </c>
      <c r="E867">
        <v>0</v>
      </c>
      <c r="F867">
        <v>28</v>
      </c>
      <c r="G867">
        <v>203</v>
      </c>
      <c r="H867">
        <v>2757</v>
      </c>
      <c r="Q867" s="2"/>
      <c r="V867" s="2"/>
      <c r="Z867" s="2"/>
      <c r="AA867" s="2"/>
      <c r="AB867" s="2"/>
    </row>
    <row r="868" spans="1:28" x14ac:dyDescent="0.25">
      <c r="A868">
        <v>8583815059</v>
      </c>
      <c r="B868" s="1">
        <v>42489</v>
      </c>
      <c r="C868">
        <v>15168</v>
      </c>
      <c r="D868">
        <v>11.829999923706101</v>
      </c>
      <c r="E868">
        <v>46</v>
      </c>
      <c r="F868">
        <v>67</v>
      </c>
      <c r="G868">
        <v>258</v>
      </c>
      <c r="H868">
        <v>3513</v>
      </c>
      <c r="Q868" s="2"/>
      <c r="V868" s="2"/>
      <c r="Z868" s="2"/>
      <c r="AA868" s="2"/>
      <c r="AB868" s="2"/>
    </row>
    <row r="869" spans="1:28" x14ac:dyDescent="0.25">
      <c r="A869">
        <v>8583815059</v>
      </c>
      <c r="B869" s="1">
        <v>42490</v>
      </c>
      <c r="C869">
        <v>10085</v>
      </c>
      <c r="D869">
        <v>7.8699998855590803</v>
      </c>
      <c r="E869">
        <v>2</v>
      </c>
      <c r="F869">
        <v>28</v>
      </c>
      <c r="G869">
        <v>317</v>
      </c>
      <c r="H869">
        <v>3164</v>
      </c>
      <c r="Q869" s="2"/>
      <c r="V869" s="2"/>
      <c r="Z869" s="2"/>
      <c r="AA869" s="2"/>
      <c r="AB869" s="2"/>
    </row>
    <row r="870" spans="1:28" x14ac:dyDescent="0.25">
      <c r="A870">
        <v>8583815059</v>
      </c>
      <c r="B870" s="1">
        <v>42491</v>
      </c>
      <c r="C870">
        <v>4512</v>
      </c>
      <c r="D870">
        <v>3.5199999809265101</v>
      </c>
      <c r="E870">
        <v>10</v>
      </c>
      <c r="F870">
        <v>2</v>
      </c>
      <c r="G870">
        <v>117</v>
      </c>
      <c r="H870">
        <v>2596</v>
      </c>
      <c r="Q870" s="2"/>
      <c r="V870" s="2"/>
      <c r="Z870" s="2"/>
      <c r="AA870" s="2"/>
      <c r="AB870" s="2"/>
    </row>
    <row r="871" spans="1:28" x14ac:dyDescent="0.25">
      <c r="A871">
        <v>8583815059</v>
      </c>
      <c r="B871" s="1">
        <v>42492</v>
      </c>
      <c r="C871">
        <v>8469</v>
      </c>
      <c r="D871">
        <v>6.6100001335143999</v>
      </c>
      <c r="E871">
        <v>0</v>
      </c>
      <c r="F871">
        <v>0</v>
      </c>
      <c r="G871">
        <v>0</v>
      </c>
      <c r="H871">
        <v>2894</v>
      </c>
      <c r="Q871" s="2"/>
      <c r="V871" s="2"/>
      <c r="Z871" s="2"/>
      <c r="AA871" s="2"/>
      <c r="AB871" s="2"/>
    </row>
    <row r="872" spans="1:28" x14ac:dyDescent="0.25">
      <c r="A872">
        <v>8583815059</v>
      </c>
      <c r="B872" s="1">
        <v>42493</v>
      </c>
      <c r="C872">
        <v>12015</v>
      </c>
      <c r="D872">
        <v>9.3699998855590803</v>
      </c>
      <c r="E872">
        <v>0</v>
      </c>
      <c r="F872">
        <v>0</v>
      </c>
      <c r="G872">
        <v>0</v>
      </c>
      <c r="H872">
        <v>3212</v>
      </c>
      <c r="Q872" s="2"/>
      <c r="V872" s="2"/>
      <c r="Z872" s="2"/>
      <c r="AA872" s="2"/>
      <c r="AB872" s="2"/>
    </row>
    <row r="873" spans="1:28" x14ac:dyDescent="0.25">
      <c r="A873">
        <v>8583815059</v>
      </c>
      <c r="B873" s="1">
        <v>42494</v>
      </c>
      <c r="C873">
        <v>3588</v>
      </c>
      <c r="D873">
        <v>2.7999999523162802</v>
      </c>
      <c r="E873">
        <v>0</v>
      </c>
      <c r="F873">
        <v>0</v>
      </c>
      <c r="G873">
        <v>0</v>
      </c>
      <c r="H873">
        <v>2516</v>
      </c>
      <c r="Q873" s="2"/>
      <c r="V873" s="2"/>
      <c r="Z873" s="2"/>
      <c r="AA873" s="2"/>
      <c r="AB873" s="2"/>
    </row>
    <row r="874" spans="1:28" x14ac:dyDescent="0.25">
      <c r="A874">
        <v>8583815059</v>
      </c>
      <c r="B874" s="1">
        <v>42495</v>
      </c>
      <c r="C874">
        <v>12427</v>
      </c>
      <c r="D874">
        <v>9.6899995803833008</v>
      </c>
      <c r="E874">
        <v>0</v>
      </c>
      <c r="F874">
        <v>0</v>
      </c>
      <c r="G874">
        <v>70</v>
      </c>
      <c r="H874">
        <v>3266</v>
      </c>
      <c r="Q874" s="2"/>
      <c r="V874" s="2"/>
      <c r="Z874" s="2"/>
      <c r="AA874" s="2"/>
      <c r="AB874" s="2"/>
    </row>
    <row r="875" spans="1:28" x14ac:dyDescent="0.25">
      <c r="A875">
        <v>8583815059</v>
      </c>
      <c r="B875" s="1">
        <v>42496</v>
      </c>
      <c r="C875">
        <v>5843</v>
      </c>
      <c r="D875">
        <v>4.5599999427795401</v>
      </c>
      <c r="E875">
        <v>2</v>
      </c>
      <c r="F875">
        <v>22</v>
      </c>
      <c r="G875">
        <v>166</v>
      </c>
      <c r="H875">
        <v>2683</v>
      </c>
      <c r="Q875" s="2"/>
      <c r="V875" s="2"/>
      <c r="Z875" s="2"/>
      <c r="AA875" s="2"/>
      <c r="AB875" s="2"/>
    </row>
    <row r="876" spans="1:28" x14ac:dyDescent="0.25">
      <c r="A876">
        <v>8583815059</v>
      </c>
      <c r="B876" s="1">
        <v>42497</v>
      </c>
      <c r="C876">
        <v>6117</v>
      </c>
      <c r="D876">
        <v>4.7699999809265101</v>
      </c>
      <c r="E876">
        <v>0</v>
      </c>
      <c r="F876">
        <v>0</v>
      </c>
      <c r="G876">
        <v>250</v>
      </c>
      <c r="H876">
        <v>2810</v>
      </c>
      <c r="Q876" s="2"/>
      <c r="V876" s="2"/>
      <c r="Z876" s="2"/>
      <c r="AA876" s="2"/>
      <c r="AB876" s="2"/>
    </row>
    <row r="877" spans="1:28" x14ac:dyDescent="0.25">
      <c r="A877">
        <v>8583815059</v>
      </c>
      <c r="B877" s="1">
        <v>42498</v>
      </c>
      <c r="C877">
        <v>9217</v>
      </c>
      <c r="D877">
        <v>7.1900000572204599</v>
      </c>
      <c r="E877">
        <v>3</v>
      </c>
      <c r="F877">
        <v>72</v>
      </c>
      <c r="G877">
        <v>182</v>
      </c>
      <c r="H877">
        <v>2940</v>
      </c>
      <c r="Q877" s="2"/>
      <c r="V877" s="2"/>
      <c r="Z877" s="2"/>
      <c r="AA877" s="2"/>
      <c r="AB877" s="2"/>
    </row>
    <row r="878" spans="1:28" x14ac:dyDescent="0.25">
      <c r="A878">
        <v>8583815059</v>
      </c>
      <c r="B878" s="1">
        <v>42499</v>
      </c>
      <c r="C878">
        <v>9877</v>
      </c>
      <c r="D878">
        <v>7.6999998092651403</v>
      </c>
      <c r="E878">
        <v>66</v>
      </c>
      <c r="F878">
        <v>4</v>
      </c>
      <c r="G878">
        <v>110</v>
      </c>
      <c r="H878">
        <v>2947</v>
      </c>
      <c r="Q878" s="2"/>
      <c r="V878" s="2"/>
      <c r="Z878" s="2"/>
      <c r="AA878" s="2"/>
      <c r="AB878" s="2"/>
    </row>
    <row r="879" spans="1:28" x14ac:dyDescent="0.25">
      <c r="A879">
        <v>8583815059</v>
      </c>
      <c r="B879" s="1">
        <v>42500</v>
      </c>
      <c r="C879">
        <v>8240</v>
      </c>
      <c r="D879">
        <v>6.4299998283386204</v>
      </c>
      <c r="E879">
        <v>9</v>
      </c>
      <c r="F879">
        <v>43</v>
      </c>
      <c r="G879">
        <v>162</v>
      </c>
      <c r="H879">
        <v>2846</v>
      </c>
      <c r="Q879" s="2"/>
      <c r="V879" s="2"/>
      <c r="Z879" s="2"/>
      <c r="AA879" s="2"/>
      <c r="AB879" s="2"/>
    </row>
    <row r="880" spans="1:28" x14ac:dyDescent="0.25">
      <c r="A880">
        <v>8583815059</v>
      </c>
      <c r="B880" s="1">
        <v>42501</v>
      </c>
      <c r="C880">
        <v>8701</v>
      </c>
      <c r="D880">
        <v>6.78999996185303</v>
      </c>
      <c r="E880">
        <v>5</v>
      </c>
      <c r="F880">
        <v>71</v>
      </c>
      <c r="G880">
        <v>177</v>
      </c>
      <c r="H880">
        <v>2804</v>
      </c>
      <c r="Q880" s="2"/>
      <c r="V880" s="2"/>
      <c r="Z880" s="2"/>
      <c r="AA880" s="2"/>
      <c r="AB880" s="2"/>
    </row>
    <row r="881" spans="1:28" x14ac:dyDescent="0.25">
      <c r="A881">
        <v>8583815059</v>
      </c>
      <c r="B881" s="1">
        <v>42502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Q881" s="2"/>
      <c r="V881" s="2"/>
      <c r="Z881" s="2"/>
      <c r="AA881" s="2"/>
      <c r="AB881" s="2"/>
    </row>
    <row r="882" spans="1:28" x14ac:dyDescent="0.25">
      <c r="A882">
        <v>8792009665</v>
      </c>
      <c r="B882" s="1">
        <v>42472</v>
      </c>
      <c r="C882">
        <v>2564</v>
      </c>
      <c r="D882">
        <v>1.6399999856948899</v>
      </c>
      <c r="E882">
        <v>0</v>
      </c>
      <c r="F882">
        <v>0</v>
      </c>
      <c r="G882">
        <v>116</v>
      </c>
      <c r="H882">
        <v>2044</v>
      </c>
      <c r="Q882" s="2"/>
      <c r="V882" s="2"/>
      <c r="Z882" s="2"/>
      <c r="AA882" s="2"/>
      <c r="AB882" s="2"/>
    </row>
    <row r="883" spans="1:28" x14ac:dyDescent="0.25">
      <c r="A883">
        <v>8792009665</v>
      </c>
      <c r="B883" s="1">
        <v>42473</v>
      </c>
      <c r="C883">
        <v>1320</v>
      </c>
      <c r="D883">
        <v>0.83999997377395597</v>
      </c>
      <c r="E883">
        <v>0</v>
      </c>
      <c r="F883">
        <v>0</v>
      </c>
      <c r="G883">
        <v>82</v>
      </c>
      <c r="H883">
        <v>1934</v>
      </c>
      <c r="Q883" s="2"/>
      <c r="V883" s="2"/>
      <c r="Z883" s="2"/>
      <c r="AA883" s="2"/>
      <c r="AB883" s="2"/>
    </row>
    <row r="884" spans="1:28" x14ac:dyDescent="0.25">
      <c r="A884">
        <v>8792009665</v>
      </c>
      <c r="B884" s="1">
        <v>42474</v>
      </c>
      <c r="C884">
        <v>1219</v>
      </c>
      <c r="D884">
        <v>0.77999997138977095</v>
      </c>
      <c r="E884">
        <v>0</v>
      </c>
      <c r="F884">
        <v>0</v>
      </c>
      <c r="G884">
        <v>84</v>
      </c>
      <c r="H884">
        <v>1963</v>
      </c>
      <c r="Q884" s="2"/>
      <c r="V884" s="2"/>
      <c r="Z884" s="2"/>
      <c r="AA884" s="2"/>
      <c r="AB884" s="2"/>
    </row>
    <row r="885" spans="1:28" x14ac:dyDescent="0.25">
      <c r="A885">
        <v>8792009665</v>
      </c>
      <c r="B885" s="1">
        <v>42475</v>
      </c>
      <c r="C885">
        <v>2483</v>
      </c>
      <c r="D885">
        <v>1.5900000333786</v>
      </c>
      <c r="E885">
        <v>0</v>
      </c>
      <c r="F885">
        <v>0</v>
      </c>
      <c r="G885">
        <v>126</v>
      </c>
      <c r="H885">
        <v>2009</v>
      </c>
      <c r="Q885" s="2"/>
      <c r="V885" s="2"/>
      <c r="Z885" s="2"/>
      <c r="AA885" s="2"/>
      <c r="AB885" s="2"/>
    </row>
    <row r="886" spans="1:28" x14ac:dyDescent="0.25">
      <c r="A886">
        <v>8792009665</v>
      </c>
      <c r="B886" s="1">
        <v>42476</v>
      </c>
      <c r="C886">
        <v>244</v>
      </c>
      <c r="D886">
        <v>0.15999999642372101</v>
      </c>
      <c r="E886">
        <v>0</v>
      </c>
      <c r="F886">
        <v>0</v>
      </c>
      <c r="G886">
        <v>12</v>
      </c>
      <c r="H886">
        <v>1721</v>
      </c>
      <c r="Q886" s="2"/>
      <c r="V886" s="2"/>
      <c r="Z886" s="2"/>
      <c r="AA886" s="2"/>
      <c r="AB886" s="2"/>
    </row>
    <row r="887" spans="1:28" x14ac:dyDescent="0.25">
      <c r="A887">
        <v>8792009665</v>
      </c>
      <c r="B887" s="1">
        <v>42477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1688</v>
      </c>
      <c r="Q887" s="2"/>
      <c r="V887" s="2"/>
      <c r="Z887" s="2"/>
      <c r="AA887" s="2"/>
      <c r="AB887" s="2"/>
    </row>
    <row r="888" spans="1:28" x14ac:dyDescent="0.25">
      <c r="A888">
        <v>8792009665</v>
      </c>
      <c r="B888" s="1">
        <v>42478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1688</v>
      </c>
      <c r="Q888" s="2"/>
      <c r="V888" s="2"/>
      <c r="Z888" s="2"/>
      <c r="AA888" s="2"/>
      <c r="AB888" s="2"/>
    </row>
    <row r="889" spans="1:28" x14ac:dyDescent="0.25">
      <c r="A889">
        <v>8792009665</v>
      </c>
      <c r="B889" s="1">
        <v>42479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1688</v>
      </c>
      <c r="Q889" s="2"/>
      <c r="V889" s="2"/>
      <c r="Z889" s="2"/>
      <c r="AA889" s="2"/>
      <c r="AB889" s="2"/>
    </row>
    <row r="890" spans="1:28" x14ac:dyDescent="0.25">
      <c r="A890">
        <v>8792009665</v>
      </c>
      <c r="B890" s="1">
        <v>42480</v>
      </c>
      <c r="C890">
        <v>3147</v>
      </c>
      <c r="D890">
        <v>2.0099999904632599</v>
      </c>
      <c r="E890">
        <v>0</v>
      </c>
      <c r="F890">
        <v>10</v>
      </c>
      <c r="G890">
        <v>139</v>
      </c>
      <c r="H890">
        <v>2188</v>
      </c>
      <c r="Q890" s="2"/>
      <c r="V890" s="2"/>
      <c r="Z890" s="2"/>
      <c r="AA890" s="2"/>
      <c r="AB890" s="2"/>
    </row>
    <row r="891" spans="1:28" x14ac:dyDescent="0.25">
      <c r="A891">
        <v>8792009665</v>
      </c>
      <c r="B891" s="1">
        <v>42481</v>
      </c>
      <c r="C891">
        <v>144</v>
      </c>
      <c r="D891">
        <v>9.00000035762787E-2</v>
      </c>
      <c r="E891">
        <v>0</v>
      </c>
      <c r="F891">
        <v>0</v>
      </c>
      <c r="G891">
        <v>9</v>
      </c>
      <c r="H891">
        <v>1720</v>
      </c>
      <c r="Q891" s="2"/>
      <c r="V891" s="2"/>
      <c r="Z891" s="2"/>
      <c r="AA891" s="2"/>
      <c r="AB891" s="2"/>
    </row>
    <row r="892" spans="1:28" x14ac:dyDescent="0.25">
      <c r="A892">
        <v>8792009665</v>
      </c>
      <c r="B892" s="1">
        <v>42482</v>
      </c>
      <c r="C892">
        <v>4068</v>
      </c>
      <c r="D892">
        <v>2.5999999046325701</v>
      </c>
      <c r="E892">
        <v>1</v>
      </c>
      <c r="F892">
        <v>20</v>
      </c>
      <c r="G892">
        <v>195</v>
      </c>
      <c r="H892">
        <v>2419</v>
      </c>
      <c r="Q892" s="2"/>
      <c r="V892" s="2"/>
      <c r="Z892" s="2"/>
      <c r="AA892" s="2"/>
      <c r="AB892" s="2"/>
    </row>
    <row r="893" spans="1:28" x14ac:dyDescent="0.25">
      <c r="A893">
        <v>8792009665</v>
      </c>
      <c r="B893" s="1">
        <v>42483</v>
      </c>
      <c r="C893">
        <v>5245</v>
      </c>
      <c r="D893">
        <v>3.3599998950958301</v>
      </c>
      <c r="E893">
        <v>8</v>
      </c>
      <c r="F893">
        <v>45</v>
      </c>
      <c r="G893">
        <v>232</v>
      </c>
      <c r="H893">
        <v>2748</v>
      </c>
      <c r="Q893" s="2"/>
      <c r="V893" s="2"/>
      <c r="Z893" s="2"/>
      <c r="AA893" s="2"/>
      <c r="AB893" s="2"/>
    </row>
    <row r="894" spans="1:28" x14ac:dyDescent="0.25">
      <c r="A894">
        <v>8792009665</v>
      </c>
      <c r="B894" s="1">
        <v>42484</v>
      </c>
      <c r="C894">
        <v>400</v>
      </c>
      <c r="D894">
        <v>0.259999990463257</v>
      </c>
      <c r="E894">
        <v>3</v>
      </c>
      <c r="F894">
        <v>8</v>
      </c>
      <c r="G894">
        <v>19</v>
      </c>
      <c r="H894">
        <v>1799</v>
      </c>
      <c r="Q894" s="2"/>
      <c r="V894" s="2"/>
      <c r="Z894" s="2"/>
      <c r="AA894" s="2"/>
      <c r="AB894" s="2"/>
    </row>
    <row r="895" spans="1:28" x14ac:dyDescent="0.25">
      <c r="A895">
        <v>8792009665</v>
      </c>
      <c r="B895" s="1">
        <v>42485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1688</v>
      </c>
      <c r="Q895" s="2"/>
      <c r="V895" s="2"/>
      <c r="Z895" s="2"/>
      <c r="AA895" s="2"/>
      <c r="AB895" s="2"/>
    </row>
    <row r="896" spans="1:28" x14ac:dyDescent="0.25">
      <c r="A896">
        <v>8792009665</v>
      </c>
      <c r="B896" s="1">
        <v>42486</v>
      </c>
      <c r="C896">
        <v>1321</v>
      </c>
      <c r="D896">
        <v>0.85000002384185802</v>
      </c>
      <c r="E896">
        <v>0</v>
      </c>
      <c r="F896">
        <v>0</v>
      </c>
      <c r="G896">
        <v>80</v>
      </c>
      <c r="H896">
        <v>1928</v>
      </c>
      <c r="Q896" s="2"/>
      <c r="V896" s="2"/>
      <c r="Z896" s="2"/>
      <c r="AA896" s="2"/>
      <c r="AB896" s="2"/>
    </row>
    <row r="897" spans="1:28" x14ac:dyDescent="0.25">
      <c r="A897">
        <v>8792009665</v>
      </c>
      <c r="B897" s="1">
        <v>42487</v>
      </c>
      <c r="C897">
        <v>1758</v>
      </c>
      <c r="D897">
        <v>1.12999999523163</v>
      </c>
      <c r="E897">
        <v>0</v>
      </c>
      <c r="F897">
        <v>0</v>
      </c>
      <c r="G897">
        <v>112</v>
      </c>
      <c r="H897">
        <v>2067</v>
      </c>
      <c r="Q897" s="2"/>
      <c r="V897" s="2"/>
      <c r="Z897" s="2"/>
      <c r="AA897" s="2"/>
      <c r="AB897" s="2"/>
    </row>
    <row r="898" spans="1:28" x14ac:dyDescent="0.25">
      <c r="A898">
        <v>8792009665</v>
      </c>
      <c r="B898" s="1">
        <v>42488</v>
      </c>
      <c r="C898">
        <v>6157</v>
      </c>
      <c r="D898">
        <v>3.9400000572204599</v>
      </c>
      <c r="E898">
        <v>0</v>
      </c>
      <c r="F898">
        <v>0</v>
      </c>
      <c r="G898">
        <v>310</v>
      </c>
      <c r="H898">
        <v>2780</v>
      </c>
      <c r="Q898" s="2"/>
      <c r="V898" s="2"/>
      <c r="Z898" s="2"/>
      <c r="AA898" s="2"/>
      <c r="AB898" s="2"/>
    </row>
    <row r="899" spans="1:28" x14ac:dyDescent="0.25">
      <c r="A899">
        <v>8792009665</v>
      </c>
      <c r="B899" s="1">
        <v>42489</v>
      </c>
      <c r="C899">
        <v>8360</v>
      </c>
      <c r="D899">
        <v>5.3499999046325701</v>
      </c>
      <c r="E899">
        <v>6</v>
      </c>
      <c r="F899">
        <v>14</v>
      </c>
      <c r="G899">
        <v>380</v>
      </c>
      <c r="H899">
        <v>3101</v>
      </c>
      <c r="Q899" s="2"/>
      <c r="V899" s="2"/>
      <c r="Z899" s="2"/>
      <c r="AA899" s="2"/>
      <c r="AB899" s="2"/>
    </row>
    <row r="900" spans="1:28" x14ac:dyDescent="0.25">
      <c r="A900">
        <v>8792009665</v>
      </c>
      <c r="B900" s="1">
        <v>42490</v>
      </c>
      <c r="C900">
        <v>7174</v>
      </c>
      <c r="D900">
        <v>4.5900001525878897</v>
      </c>
      <c r="E900">
        <v>10</v>
      </c>
      <c r="F900">
        <v>20</v>
      </c>
      <c r="G900">
        <v>301</v>
      </c>
      <c r="H900">
        <v>2896</v>
      </c>
      <c r="Q900" s="2"/>
      <c r="V900" s="2"/>
      <c r="Z900" s="2"/>
      <c r="AA900" s="2"/>
      <c r="AB900" s="2"/>
    </row>
    <row r="901" spans="1:28" x14ac:dyDescent="0.25">
      <c r="A901">
        <v>8792009665</v>
      </c>
      <c r="B901" s="1">
        <v>42491</v>
      </c>
      <c r="C901">
        <v>1619</v>
      </c>
      <c r="D901">
        <v>1.03999996185303</v>
      </c>
      <c r="E901">
        <v>0</v>
      </c>
      <c r="F901">
        <v>0</v>
      </c>
      <c r="G901">
        <v>79</v>
      </c>
      <c r="H901">
        <v>1962</v>
      </c>
      <c r="Q901" s="2"/>
      <c r="V901" s="2"/>
      <c r="Z901" s="2"/>
      <c r="AA901" s="2"/>
      <c r="AB901" s="2"/>
    </row>
    <row r="902" spans="1:28" x14ac:dyDescent="0.25">
      <c r="A902">
        <v>8792009665</v>
      </c>
      <c r="B902" s="1">
        <v>42492</v>
      </c>
      <c r="C902">
        <v>1831</v>
      </c>
      <c r="D902">
        <v>1.16999995708466</v>
      </c>
      <c r="E902">
        <v>0</v>
      </c>
      <c r="F902">
        <v>0</v>
      </c>
      <c r="G902">
        <v>101</v>
      </c>
      <c r="H902">
        <v>2015</v>
      </c>
      <c r="Q902" s="2"/>
      <c r="V902" s="2"/>
      <c r="Z902" s="2"/>
      <c r="AA902" s="2"/>
      <c r="AB902" s="2"/>
    </row>
    <row r="903" spans="1:28" x14ac:dyDescent="0.25">
      <c r="A903">
        <v>8792009665</v>
      </c>
      <c r="B903" s="1">
        <v>42493</v>
      </c>
      <c r="C903">
        <v>2421</v>
      </c>
      <c r="D903">
        <v>1.54999995231628</v>
      </c>
      <c r="E903">
        <v>0</v>
      </c>
      <c r="F903">
        <v>0</v>
      </c>
      <c r="G903">
        <v>156</v>
      </c>
      <c r="H903">
        <v>2297</v>
      </c>
      <c r="Q903" s="2"/>
      <c r="V903" s="2"/>
      <c r="Z903" s="2"/>
      <c r="AA903" s="2"/>
      <c r="AB903" s="2"/>
    </row>
    <row r="904" spans="1:28" x14ac:dyDescent="0.25">
      <c r="A904">
        <v>8792009665</v>
      </c>
      <c r="B904" s="1">
        <v>42494</v>
      </c>
      <c r="C904">
        <v>2283</v>
      </c>
      <c r="D904">
        <v>1.46000003814697</v>
      </c>
      <c r="E904">
        <v>0</v>
      </c>
      <c r="F904">
        <v>0</v>
      </c>
      <c r="G904">
        <v>129</v>
      </c>
      <c r="H904">
        <v>2067</v>
      </c>
      <c r="Q904" s="2"/>
      <c r="V904" s="2"/>
      <c r="Z904" s="2"/>
      <c r="AA904" s="2"/>
      <c r="AB904" s="2"/>
    </row>
    <row r="905" spans="1:28" x14ac:dyDescent="0.25">
      <c r="A905">
        <v>8792009665</v>
      </c>
      <c r="B905" s="1">
        <v>42495</v>
      </c>
      <c r="C905">
        <v>0</v>
      </c>
      <c r="D905">
        <v>0</v>
      </c>
      <c r="E905">
        <v>0</v>
      </c>
      <c r="F905">
        <v>0</v>
      </c>
      <c r="G905">
        <v>0</v>
      </c>
      <c r="H905">
        <v>1688</v>
      </c>
      <c r="Q905" s="2"/>
      <c r="V905" s="2"/>
      <c r="Z905" s="2"/>
      <c r="AA905" s="2"/>
      <c r="AB905" s="2"/>
    </row>
    <row r="906" spans="1:28" x14ac:dyDescent="0.25">
      <c r="A906">
        <v>8792009665</v>
      </c>
      <c r="B906" s="1">
        <v>42496</v>
      </c>
      <c r="C906">
        <v>0</v>
      </c>
      <c r="D906">
        <v>0</v>
      </c>
      <c r="E906">
        <v>0</v>
      </c>
      <c r="F906">
        <v>0</v>
      </c>
      <c r="G906">
        <v>0</v>
      </c>
      <c r="H906">
        <v>1688</v>
      </c>
      <c r="Q906" s="2"/>
      <c r="V906" s="2"/>
      <c r="Z906" s="2"/>
      <c r="AA906" s="2"/>
      <c r="AB906" s="2"/>
    </row>
    <row r="907" spans="1:28" x14ac:dyDescent="0.25">
      <c r="A907">
        <v>8792009665</v>
      </c>
      <c r="B907" s="1">
        <v>42497</v>
      </c>
      <c r="C907">
        <v>0</v>
      </c>
      <c r="D907">
        <v>0</v>
      </c>
      <c r="E907">
        <v>0</v>
      </c>
      <c r="F907">
        <v>0</v>
      </c>
      <c r="G907">
        <v>0</v>
      </c>
      <c r="H907">
        <v>1688</v>
      </c>
      <c r="Q907" s="2"/>
      <c r="V907" s="2"/>
      <c r="Z907" s="2"/>
      <c r="AA907" s="2"/>
      <c r="AB907" s="2"/>
    </row>
    <row r="908" spans="1:28" x14ac:dyDescent="0.25">
      <c r="A908">
        <v>8792009665</v>
      </c>
      <c r="B908" s="1">
        <v>42498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1688</v>
      </c>
      <c r="Q908" s="2"/>
      <c r="V908" s="2"/>
      <c r="Z908" s="2"/>
      <c r="AA908" s="2"/>
      <c r="AB908" s="2"/>
    </row>
    <row r="909" spans="1:28" x14ac:dyDescent="0.25">
      <c r="A909">
        <v>8792009665</v>
      </c>
      <c r="B909" s="1">
        <v>42499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1688</v>
      </c>
      <c r="Q909" s="2"/>
      <c r="V909" s="2"/>
      <c r="Z909" s="2"/>
      <c r="AA909" s="2"/>
      <c r="AB909" s="2"/>
    </row>
    <row r="910" spans="1:28" x14ac:dyDescent="0.25">
      <c r="A910">
        <v>8792009665</v>
      </c>
      <c r="B910" s="1">
        <v>42500</v>
      </c>
      <c r="C910">
        <v>0</v>
      </c>
      <c r="D910">
        <v>0</v>
      </c>
      <c r="E910">
        <v>0</v>
      </c>
      <c r="F910">
        <v>0</v>
      </c>
      <c r="G910">
        <v>0</v>
      </c>
      <c r="H910">
        <v>57</v>
      </c>
      <c r="Q910" s="2"/>
      <c r="V910" s="2"/>
      <c r="Z910" s="2"/>
      <c r="AA910" s="2"/>
      <c r="AB910" s="2"/>
    </row>
    <row r="911" spans="1:28" x14ac:dyDescent="0.25">
      <c r="A911">
        <v>8877689391</v>
      </c>
      <c r="B911" s="1">
        <v>42472</v>
      </c>
      <c r="C911">
        <v>23186</v>
      </c>
      <c r="D911">
        <v>20.399999618530298</v>
      </c>
      <c r="E911">
        <v>85</v>
      </c>
      <c r="F911">
        <v>7</v>
      </c>
      <c r="G911">
        <v>312</v>
      </c>
      <c r="H911">
        <v>3921</v>
      </c>
      <c r="Q911" s="2"/>
      <c r="V911" s="2"/>
      <c r="Z911" s="2"/>
      <c r="AA911" s="2"/>
      <c r="AB911" s="2"/>
    </row>
    <row r="912" spans="1:28" x14ac:dyDescent="0.25">
      <c r="A912">
        <v>8877689391</v>
      </c>
      <c r="B912" s="1">
        <v>42473</v>
      </c>
      <c r="C912">
        <v>15337</v>
      </c>
      <c r="D912">
        <v>9.5799999237060494</v>
      </c>
      <c r="E912">
        <v>108</v>
      </c>
      <c r="F912">
        <v>18</v>
      </c>
      <c r="G912">
        <v>216</v>
      </c>
      <c r="H912">
        <v>3566</v>
      </c>
      <c r="Q912" s="2"/>
      <c r="V912" s="2"/>
      <c r="Z912" s="2"/>
      <c r="AA912" s="2"/>
      <c r="AB912" s="2"/>
    </row>
    <row r="913" spans="1:28" x14ac:dyDescent="0.25">
      <c r="A913">
        <v>8877689391</v>
      </c>
      <c r="B913" s="1">
        <v>42474</v>
      </c>
      <c r="C913">
        <v>21129</v>
      </c>
      <c r="D913">
        <v>18.9799995422363</v>
      </c>
      <c r="E913">
        <v>68</v>
      </c>
      <c r="F913">
        <v>13</v>
      </c>
      <c r="G913">
        <v>298</v>
      </c>
      <c r="H913">
        <v>3793</v>
      </c>
      <c r="Q913" s="2"/>
      <c r="V913" s="2"/>
      <c r="Z913" s="2"/>
      <c r="AA913" s="2"/>
      <c r="AB913" s="2"/>
    </row>
    <row r="914" spans="1:28" x14ac:dyDescent="0.25">
      <c r="A914">
        <v>8877689391</v>
      </c>
      <c r="B914" s="1">
        <v>42475</v>
      </c>
      <c r="C914">
        <v>13422</v>
      </c>
      <c r="D914">
        <v>7.1700000762939498</v>
      </c>
      <c r="E914">
        <v>106</v>
      </c>
      <c r="F914">
        <v>1</v>
      </c>
      <c r="G914">
        <v>281</v>
      </c>
      <c r="H914">
        <v>3934</v>
      </c>
      <c r="Q914" s="2"/>
      <c r="V914" s="2"/>
      <c r="Z914" s="2"/>
      <c r="AA914" s="2"/>
      <c r="AB914" s="2"/>
    </row>
    <row r="915" spans="1:28" x14ac:dyDescent="0.25">
      <c r="A915">
        <v>8877689391</v>
      </c>
      <c r="B915" s="1">
        <v>42476</v>
      </c>
      <c r="C915">
        <v>29326</v>
      </c>
      <c r="D915">
        <v>25.290000915527301</v>
      </c>
      <c r="E915">
        <v>94</v>
      </c>
      <c r="F915">
        <v>29</v>
      </c>
      <c r="G915">
        <v>429</v>
      </c>
      <c r="H915">
        <v>4547</v>
      </c>
      <c r="Q915" s="2"/>
      <c r="V915" s="2"/>
      <c r="Z915" s="2"/>
      <c r="AA915" s="2"/>
      <c r="AB915" s="2"/>
    </row>
    <row r="916" spans="1:28" x14ac:dyDescent="0.25">
      <c r="A916">
        <v>8877689391</v>
      </c>
      <c r="B916" s="1">
        <v>42477</v>
      </c>
      <c r="C916">
        <v>15118</v>
      </c>
      <c r="D916">
        <v>8.8699998855590803</v>
      </c>
      <c r="E916">
        <v>58</v>
      </c>
      <c r="F916">
        <v>15</v>
      </c>
      <c r="G916">
        <v>307</v>
      </c>
      <c r="H916">
        <v>3545</v>
      </c>
      <c r="Q916" s="2"/>
      <c r="V916" s="2"/>
      <c r="Z916" s="2"/>
      <c r="AA916" s="2"/>
      <c r="AB916" s="2"/>
    </row>
    <row r="917" spans="1:28" x14ac:dyDescent="0.25">
      <c r="A917">
        <v>8877689391</v>
      </c>
      <c r="B917" s="1">
        <v>42478</v>
      </c>
      <c r="C917">
        <v>11423</v>
      </c>
      <c r="D917">
        <v>8.6700000762939506</v>
      </c>
      <c r="E917">
        <v>29</v>
      </c>
      <c r="F917">
        <v>5</v>
      </c>
      <c r="G917">
        <v>191</v>
      </c>
      <c r="H917">
        <v>2761</v>
      </c>
      <c r="Q917" s="2"/>
      <c r="V917" s="2"/>
      <c r="Z917" s="2"/>
      <c r="AA917" s="2"/>
      <c r="AB917" s="2"/>
    </row>
    <row r="918" spans="1:28" x14ac:dyDescent="0.25">
      <c r="A918">
        <v>8877689391</v>
      </c>
      <c r="B918" s="1">
        <v>42479</v>
      </c>
      <c r="C918">
        <v>18785</v>
      </c>
      <c r="D918">
        <v>17.399999618530298</v>
      </c>
      <c r="E918">
        <v>82</v>
      </c>
      <c r="F918">
        <v>13</v>
      </c>
      <c r="G918">
        <v>214</v>
      </c>
      <c r="H918">
        <v>3676</v>
      </c>
      <c r="Q918" s="2"/>
      <c r="V918" s="2"/>
      <c r="Z918" s="2"/>
      <c r="AA918" s="2"/>
      <c r="AB918" s="2"/>
    </row>
    <row r="919" spans="1:28" x14ac:dyDescent="0.25">
      <c r="A919">
        <v>8877689391</v>
      </c>
      <c r="B919" s="1">
        <v>42480</v>
      </c>
      <c r="C919">
        <v>19948</v>
      </c>
      <c r="D919">
        <v>18.110000610351602</v>
      </c>
      <c r="E919">
        <v>73</v>
      </c>
      <c r="F919">
        <v>19</v>
      </c>
      <c r="G919">
        <v>225</v>
      </c>
      <c r="H919">
        <v>3679</v>
      </c>
      <c r="Q919" s="2"/>
      <c r="V919" s="2"/>
      <c r="Z919" s="2"/>
      <c r="AA919" s="2"/>
      <c r="AB919" s="2"/>
    </row>
    <row r="920" spans="1:28" x14ac:dyDescent="0.25">
      <c r="A920">
        <v>8877689391</v>
      </c>
      <c r="B920" s="1">
        <v>42481</v>
      </c>
      <c r="C920">
        <v>19377</v>
      </c>
      <c r="D920">
        <v>17.620000839233398</v>
      </c>
      <c r="E920">
        <v>82</v>
      </c>
      <c r="F920">
        <v>13</v>
      </c>
      <c r="G920">
        <v>226</v>
      </c>
      <c r="H920">
        <v>3659</v>
      </c>
      <c r="Q920" s="2"/>
      <c r="V920" s="2"/>
      <c r="Z920" s="2"/>
      <c r="AA920" s="2"/>
      <c r="AB920" s="2"/>
    </row>
    <row r="921" spans="1:28" x14ac:dyDescent="0.25">
      <c r="A921">
        <v>8877689391</v>
      </c>
      <c r="B921" s="1">
        <v>42482</v>
      </c>
      <c r="C921">
        <v>18258</v>
      </c>
      <c r="D921">
        <v>16.309999465942401</v>
      </c>
      <c r="E921">
        <v>61</v>
      </c>
      <c r="F921">
        <v>2</v>
      </c>
      <c r="G921">
        <v>236</v>
      </c>
      <c r="H921">
        <v>3427</v>
      </c>
      <c r="Q921" s="2"/>
      <c r="V921" s="2"/>
      <c r="Z921" s="2"/>
      <c r="AA921" s="2"/>
      <c r="AB921" s="2"/>
    </row>
    <row r="922" spans="1:28" x14ac:dyDescent="0.25">
      <c r="A922">
        <v>8877689391</v>
      </c>
      <c r="B922" s="1">
        <v>42483</v>
      </c>
      <c r="C922">
        <v>11200</v>
      </c>
      <c r="D922">
        <v>7.4299998283386204</v>
      </c>
      <c r="E922">
        <v>102</v>
      </c>
      <c r="F922">
        <v>6</v>
      </c>
      <c r="G922">
        <v>300</v>
      </c>
      <c r="H922">
        <v>3891</v>
      </c>
      <c r="Q922" s="2"/>
      <c r="V922" s="2"/>
      <c r="Z922" s="2"/>
      <c r="AA922" s="2"/>
      <c r="AB922" s="2"/>
    </row>
    <row r="923" spans="1:28" x14ac:dyDescent="0.25">
      <c r="A923">
        <v>8877689391</v>
      </c>
      <c r="B923" s="1">
        <v>42484</v>
      </c>
      <c r="C923">
        <v>16674</v>
      </c>
      <c r="D923">
        <v>15.7399997711182</v>
      </c>
      <c r="E923">
        <v>64</v>
      </c>
      <c r="F923">
        <v>1</v>
      </c>
      <c r="G923">
        <v>227</v>
      </c>
      <c r="H923">
        <v>3455</v>
      </c>
      <c r="Q923" s="2"/>
      <c r="V923" s="2"/>
      <c r="Z923" s="2"/>
      <c r="AA923" s="2"/>
      <c r="AB923" s="2"/>
    </row>
    <row r="924" spans="1:28" x14ac:dyDescent="0.25">
      <c r="A924">
        <v>8877689391</v>
      </c>
      <c r="B924" s="1">
        <v>42485</v>
      </c>
      <c r="C924">
        <v>12986</v>
      </c>
      <c r="D924">
        <v>8.7399997711181605</v>
      </c>
      <c r="E924">
        <v>113</v>
      </c>
      <c r="F924">
        <v>8</v>
      </c>
      <c r="G924">
        <v>218</v>
      </c>
      <c r="H924">
        <v>3802</v>
      </c>
      <c r="Q924" s="2"/>
      <c r="V924" s="2"/>
      <c r="Z924" s="2"/>
      <c r="AA924" s="2"/>
      <c r="AB924" s="2"/>
    </row>
    <row r="925" spans="1:28" x14ac:dyDescent="0.25">
      <c r="A925">
        <v>8877689391</v>
      </c>
      <c r="B925" s="1">
        <v>42486</v>
      </c>
      <c r="C925">
        <v>11101</v>
      </c>
      <c r="D925">
        <v>8.4300003051757795</v>
      </c>
      <c r="E925">
        <v>22</v>
      </c>
      <c r="F925">
        <v>3</v>
      </c>
      <c r="G925">
        <v>258</v>
      </c>
      <c r="H925">
        <v>2860</v>
      </c>
      <c r="Q925" s="2"/>
      <c r="V925" s="2"/>
      <c r="Z925" s="2"/>
      <c r="AA925" s="2"/>
      <c r="AB925" s="2"/>
    </row>
    <row r="926" spans="1:28" x14ac:dyDescent="0.25">
      <c r="A926">
        <v>8877689391</v>
      </c>
      <c r="B926" s="1">
        <v>42487</v>
      </c>
      <c r="C926">
        <v>23629</v>
      </c>
      <c r="D926">
        <v>20.649999618530298</v>
      </c>
      <c r="E926">
        <v>93</v>
      </c>
      <c r="F926">
        <v>8</v>
      </c>
      <c r="G926">
        <v>235</v>
      </c>
      <c r="H926">
        <v>3808</v>
      </c>
      <c r="Q926" s="2"/>
      <c r="V926" s="2"/>
      <c r="Z926" s="2"/>
      <c r="AA926" s="2"/>
      <c r="AB926" s="2"/>
    </row>
    <row r="927" spans="1:28" x14ac:dyDescent="0.25">
      <c r="A927">
        <v>8877689391</v>
      </c>
      <c r="B927" s="1">
        <v>42488</v>
      </c>
      <c r="C927">
        <v>14890</v>
      </c>
      <c r="D927">
        <v>11.300000190734901</v>
      </c>
      <c r="E927">
        <v>58</v>
      </c>
      <c r="F927">
        <v>8</v>
      </c>
      <c r="G927">
        <v>231</v>
      </c>
      <c r="H927">
        <v>3060</v>
      </c>
      <c r="Q927" s="2"/>
      <c r="V927" s="2"/>
      <c r="Z927" s="2"/>
      <c r="AA927" s="2"/>
      <c r="AB927" s="2"/>
    </row>
    <row r="928" spans="1:28" x14ac:dyDescent="0.25">
      <c r="A928">
        <v>8877689391</v>
      </c>
      <c r="B928" s="1">
        <v>42489</v>
      </c>
      <c r="C928">
        <v>9733</v>
      </c>
      <c r="D928">
        <v>7.3899998664856001</v>
      </c>
      <c r="E928">
        <v>18</v>
      </c>
      <c r="F928">
        <v>5</v>
      </c>
      <c r="G928">
        <v>210</v>
      </c>
      <c r="H928">
        <v>2698</v>
      </c>
      <c r="Q928" s="2"/>
      <c r="V928" s="2"/>
      <c r="Z928" s="2"/>
      <c r="AA928" s="2"/>
      <c r="AB928" s="2"/>
    </row>
    <row r="929" spans="1:28" x14ac:dyDescent="0.25">
      <c r="A929">
        <v>8877689391</v>
      </c>
      <c r="B929" s="1">
        <v>42490</v>
      </c>
      <c r="C929">
        <v>27745</v>
      </c>
      <c r="D929">
        <v>26.719999313354499</v>
      </c>
      <c r="E929">
        <v>124</v>
      </c>
      <c r="F929">
        <v>4</v>
      </c>
      <c r="G929">
        <v>223</v>
      </c>
      <c r="H929">
        <v>4398</v>
      </c>
      <c r="Q929" s="2"/>
      <c r="V929" s="2"/>
      <c r="Z929" s="2"/>
      <c r="AA929" s="2"/>
      <c r="AB929" s="2"/>
    </row>
    <row r="930" spans="1:28" x14ac:dyDescent="0.25">
      <c r="A930">
        <v>8877689391</v>
      </c>
      <c r="B930" s="1">
        <v>42491</v>
      </c>
      <c r="C930">
        <v>10930</v>
      </c>
      <c r="D930">
        <v>8.3199996948242205</v>
      </c>
      <c r="E930">
        <v>36</v>
      </c>
      <c r="F930">
        <v>12</v>
      </c>
      <c r="G930">
        <v>166</v>
      </c>
      <c r="H930">
        <v>2786</v>
      </c>
      <c r="Q930" s="2"/>
      <c r="V930" s="2"/>
      <c r="Z930" s="2"/>
      <c r="AA930" s="2"/>
      <c r="AB930" s="2"/>
    </row>
    <row r="931" spans="1:28" x14ac:dyDescent="0.25">
      <c r="A931">
        <v>8877689391</v>
      </c>
      <c r="B931" s="1">
        <v>42492</v>
      </c>
      <c r="C931">
        <v>4790</v>
      </c>
      <c r="D931">
        <v>3.6400001049041699</v>
      </c>
      <c r="E931">
        <v>0</v>
      </c>
      <c r="F931">
        <v>0</v>
      </c>
      <c r="G931">
        <v>105</v>
      </c>
      <c r="H931">
        <v>2189</v>
      </c>
      <c r="Q931" s="2"/>
      <c r="V931" s="2"/>
      <c r="Z931" s="2"/>
      <c r="AA931" s="2"/>
      <c r="AB931" s="2"/>
    </row>
    <row r="932" spans="1:28" x14ac:dyDescent="0.25">
      <c r="A932">
        <v>8877689391</v>
      </c>
      <c r="B932" s="1">
        <v>42493</v>
      </c>
      <c r="C932">
        <v>10818</v>
      </c>
      <c r="D932">
        <v>8.2100000381469709</v>
      </c>
      <c r="E932">
        <v>19</v>
      </c>
      <c r="F932">
        <v>3</v>
      </c>
      <c r="G932">
        <v>229</v>
      </c>
      <c r="H932">
        <v>2817</v>
      </c>
      <c r="Q932" s="2"/>
      <c r="V932" s="2"/>
      <c r="Z932" s="2"/>
      <c r="AA932" s="2"/>
      <c r="AB932" s="2"/>
    </row>
    <row r="933" spans="1:28" x14ac:dyDescent="0.25">
      <c r="A933">
        <v>8877689391</v>
      </c>
      <c r="B933" s="1">
        <v>42494</v>
      </c>
      <c r="C933">
        <v>18193</v>
      </c>
      <c r="D933">
        <v>16.299999237060501</v>
      </c>
      <c r="E933">
        <v>66</v>
      </c>
      <c r="F933">
        <v>8</v>
      </c>
      <c r="G933">
        <v>212</v>
      </c>
      <c r="H933">
        <v>3477</v>
      </c>
      <c r="Q933" s="2"/>
      <c r="V933" s="2"/>
      <c r="Z933" s="2"/>
      <c r="AA933" s="2"/>
      <c r="AB933" s="2"/>
    </row>
    <row r="934" spans="1:28" x14ac:dyDescent="0.25">
      <c r="A934">
        <v>8877689391</v>
      </c>
      <c r="B934" s="1">
        <v>42495</v>
      </c>
      <c r="C934">
        <v>14055</v>
      </c>
      <c r="D934">
        <v>10.670000076293899</v>
      </c>
      <c r="E934">
        <v>67</v>
      </c>
      <c r="F934">
        <v>15</v>
      </c>
      <c r="G934">
        <v>188</v>
      </c>
      <c r="H934">
        <v>3052</v>
      </c>
      <c r="Q934" s="2"/>
      <c r="V934" s="2"/>
      <c r="Z934" s="2"/>
      <c r="AA934" s="2"/>
      <c r="AB934" s="2"/>
    </row>
    <row r="935" spans="1:28" x14ac:dyDescent="0.25">
      <c r="A935">
        <v>8877689391</v>
      </c>
      <c r="B935" s="1">
        <v>42496</v>
      </c>
      <c r="C935">
        <v>21727</v>
      </c>
      <c r="D935">
        <v>19.340000152587901</v>
      </c>
      <c r="E935">
        <v>96</v>
      </c>
      <c r="F935">
        <v>17</v>
      </c>
      <c r="G935">
        <v>232</v>
      </c>
      <c r="H935">
        <v>4015</v>
      </c>
      <c r="Q935" s="2"/>
      <c r="V935" s="2"/>
      <c r="Z935" s="2"/>
      <c r="AA935" s="2"/>
      <c r="AB935" s="2"/>
    </row>
    <row r="936" spans="1:28" x14ac:dyDescent="0.25">
      <c r="A936">
        <v>8877689391</v>
      </c>
      <c r="B936" s="1">
        <v>42497</v>
      </c>
      <c r="C936">
        <v>12332</v>
      </c>
      <c r="D936">
        <v>8.1300001144409197</v>
      </c>
      <c r="E936">
        <v>105</v>
      </c>
      <c r="F936">
        <v>28</v>
      </c>
      <c r="G936">
        <v>271</v>
      </c>
      <c r="H936">
        <v>4142</v>
      </c>
      <c r="Q936" s="2"/>
      <c r="V936" s="2"/>
      <c r="Z936" s="2"/>
      <c r="AA936" s="2"/>
      <c r="AB936" s="2"/>
    </row>
    <row r="937" spans="1:28" x14ac:dyDescent="0.25">
      <c r="A937">
        <v>8877689391</v>
      </c>
      <c r="B937" s="1">
        <v>42498</v>
      </c>
      <c r="C937">
        <v>10686</v>
      </c>
      <c r="D937">
        <v>8.1099996566772496</v>
      </c>
      <c r="E937">
        <v>17</v>
      </c>
      <c r="F937">
        <v>4</v>
      </c>
      <c r="G937">
        <v>245</v>
      </c>
      <c r="H937">
        <v>2847</v>
      </c>
      <c r="Q937" s="2"/>
      <c r="V937" s="2"/>
      <c r="Z937" s="2"/>
      <c r="AA937" s="2"/>
      <c r="AB937" s="2"/>
    </row>
    <row r="938" spans="1:28" x14ac:dyDescent="0.25">
      <c r="A938">
        <v>8877689391</v>
      </c>
      <c r="B938" s="1">
        <v>42499</v>
      </c>
      <c r="C938">
        <v>20226</v>
      </c>
      <c r="D938">
        <v>18.25</v>
      </c>
      <c r="E938">
        <v>73</v>
      </c>
      <c r="F938">
        <v>19</v>
      </c>
      <c r="G938">
        <v>217</v>
      </c>
      <c r="H938">
        <v>3710</v>
      </c>
      <c r="Q938" s="2"/>
      <c r="V938" s="2"/>
      <c r="Z938" s="2"/>
      <c r="AA938" s="2"/>
      <c r="AB938" s="2"/>
    </row>
    <row r="939" spans="1:28" x14ac:dyDescent="0.25">
      <c r="A939">
        <v>8877689391</v>
      </c>
      <c r="B939" s="1">
        <v>42500</v>
      </c>
      <c r="C939">
        <v>10733</v>
      </c>
      <c r="D939">
        <v>8.1499996185302699</v>
      </c>
      <c r="E939">
        <v>18</v>
      </c>
      <c r="F939">
        <v>11</v>
      </c>
      <c r="G939">
        <v>224</v>
      </c>
      <c r="H939">
        <v>2832</v>
      </c>
      <c r="Q939" s="2"/>
      <c r="V939" s="2"/>
      <c r="Z939" s="2"/>
      <c r="AA939" s="2"/>
      <c r="AB939" s="2"/>
    </row>
    <row r="940" spans="1:28" x14ac:dyDescent="0.25">
      <c r="A940">
        <v>8877689391</v>
      </c>
      <c r="B940" s="1">
        <v>42501</v>
      </c>
      <c r="C940">
        <v>21420</v>
      </c>
      <c r="D940">
        <v>19.559999465942401</v>
      </c>
      <c r="E940">
        <v>88</v>
      </c>
      <c r="F940">
        <v>12</v>
      </c>
      <c r="G940">
        <v>213</v>
      </c>
      <c r="H940">
        <v>3832</v>
      </c>
      <c r="Q940" s="2"/>
      <c r="V940" s="2"/>
      <c r="Z940" s="2"/>
      <c r="AA940" s="2"/>
      <c r="AB940" s="2"/>
    </row>
    <row r="941" spans="1:28" x14ac:dyDescent="0.25">
      <c r="A941">
        <v>8877689391</v>
      </c>
      <c r="B941" s="1">
        <v>42502</v>
      </c>
      <c r="C941">
        <v>8064</v>
      </c>
      <c r="D941">
        <v>6.1199998855590803</v>
      </c>
      <c r="E941">
        <v>23</v>
      </c>
      <c r="F941">
        <v>1</v>
      </c>
      <c r="G941">
        <v>137</v>
      </c>
      <c r="H941">
        <v>1849</v>
      </c>
      <c r="Q941" s="2"/>
      <c r="V941" s="2"/>
      <c r="Z941" s="2"/>
      <c r="AA941" s="2"/>
      <c r="AB94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3"/>
  <sheetViews>
    <sheetView workbookViewId="0">
      <selection activeCell="L12" sqref="L12"/>
    </sheetView>
  </sheetViews>
  <sheetFormatPr defaultRowHeight="15" x14ac:dyDescent="0.25"/>
  <cols>
    <col min="1" max="1" width="13.140625" bestFit="1" customWidth="1"/>
    <col min="2" max="2" width="5.140625" bestFit="1" customWidth="1"/>
    <col min="4" max="4" width="6.140625" bestFit="1" customWidth="1"/>
    <col min="5" max="5" width="14.85546875" bestFit="1" customWidth="1"/>
    <col min="8" max="8" width="26" bestFit="1" customWidth="1"/>
    <col min="9" max="9" width="26.7109375" bestFit="1" customWidth="1"/>
    <col min="10" max="10" width="27.7109375" bestFit="1" customWidth="1"/>
  </cols>
  <sheetData>
    <row r="1" spans="1:10" ht="15.75" thickBot="1" x14ac:dyDescent="0.3">
      <c r="A1" s="14" t="s">
        <v>18</v>
      </c>
      <c r="B1" s="15" t="s">
        <v>19</v>
      </c>
      <c r="C1" s="15" t="s">
        <v>20</v>
      </c>
      <c r="D1" s="15" t="s">
        <v>10</v>
      </c>
      <c r="E1" s="15" t="s">
        <v>12</v>
      </c>
      <c r="F1" s="15" t="s">
        <v>13</v>
      </c>
      <c r="G1" s="15" t="s">
        <v>14</v>
      </c>
      <c r="H1" s="15" t="s">
        <v>16</v>
      </c>
      <c r="I1" s="15" t="s">
        <v>15</v>
      </c>
      <c r="J1" s="16" t="s">
        <v>17</v>
      </c>
    </row>
    <row r="2" spans="1:10" x14ac:dyDescent="0.25">
      <c r="A2" s="17">
        <v>42472</v>
      </c>
      <c r="B2" s="6">
        <f>COUNTIF('Task4 Q1-8'!$B$2:$B$941,A2)</f>
        <v>33</v>
      </c>
      <c r="C2" s="6" t="str">
        <f t="shared" ref="C2:C33" si="0">IF(B2&gt;20,"Active",IF(AND(B2&gt;=10,B2&lt;=20),"Moderate","Light"))</f>
        <v>Active</v>
      </c>
      <c r="D2" s="8">
        <f>AVERAGEIF('Task4 Q1-8'!$B$2:$B$941,A2,'Task4 Q1-8'!$D$2:$D$941)</f>
        <v>5.9827272485602991</v>
      </c>
      <c r="E2" s="6" t="str">
        <f t="shared" ref="E2:E33" si="1">IF(D2&gt;6,"Pro",IF(AND(D2&lt;=6,D2&gt;=5),"Intermediate","Beginner"))</f>
        <v>Intermediate</v>
      </c>
      <c r="F2" s="6">
        <f>SUMIF('Task4 Q1-8'!$B$2:$B$941,A2,'Task4 Q1-8'!$C$2:$C$941)</f>
        <v>271816</v>
      </c>
      <c r="G2" s="6">
        <f>SUMIF('Task4 Q1-8'!$B$2:$B$941,A2,'Task4 Q1-8'!$H$2:$H$941)</f>
        <v>78893</v>
      </c>
      <c r="H2" s="8">
        <f>AVERAGEIF('Task4 Q1-8'!$B$2:$B$941,A2,'Task4 Q1-8'!$E$2:$E$941)</f>
        <v>22.303030303030305</v>
      </c>
      <c r="I2" s="8">
        <f>AVERAGEIF('Task4 Q1-8'!$B$2:$B$941,A2,'Task4 Q1-8'!$F$2:$F$941)</f>
        <v>7.8484848484848486</v>
      </c>
      <c r="J2" s="18">
        <f>AVERAGEIF('Task4 Q1-8'!$B$2:$B$941,A2,'Task4 Q1-8'!$G$2:$G$941)</f>
        <v>199</v>
      </c>
    </row>
    <row r="3" spans="1:10" x14ac:dyDescent="0.25">
      <c r="A3" s="17">
        <v>42473</v>
      </c>
      <c r="B3" s="6">
        <f>COUNTIF('Task4 Q1-8'!$B$2:$B$941,A3)</f>
        <v>33</v>
      </c>
      <c r="C3" s="6" t="str">
        <f t="shared" si="0"/>
        <v>Active</v>
      </c>
      <c r="D3" s="8">
        <f>AVERAGEIF('Task4 Q1-8'!$B$2:$B$941,A3,'Task4 Q1-8'!$D$2:$D$941)</f>
        <v>5.1033333160660481</v>
      </c>
      <c r="E3" s="6" t="str">
        <f t="shared" si="1"/>
        <v>Intermediate</v>
      </c>
      <c r="F3" s="6">
        <f>SUMIF('Task4 Q1-8'!$B$2:$B$941,A3,'Task4 Q1-8'!$C$2:$C$941)</f>
        <v>237558</v>
      </c>
      <c r="G3" s="6">
        <f>SUMIF('Task4 Q1-8'!$B$2:$B$941,A3,'Task4 Q1-8'!$H$2:$H$941)</f>
        <v>75459</v>
      </c>
      <c r="H3" s="8">
        <f>AVERAGEIF('Task4 Q1-8'!$B$2:$B$941,A3,'Task4 Q1-8'!$E$2:$E$941)</f>
        <v>20.333333333333332</v>
      </c>
      <c r="I3" s="8">
        <f>AVERAGEIF('Task4 Q1-8'!$B$2:$B$941,A3,'Task4 Q1-8'!$F$2:$F$941)</f>
        <v>10.575757575757576</v>
      </c>
      <c r="J3" s="18">
        <f>AVERAGEIF('Task4 Q1-8'!$B$2:$B$941,A3,'Task4 Q1-8'!$G$2:$G$941)</f>
        <v>181.75757575757575</v>
      </c>
    </row>
    <row r="4" spans="1:10" x14ac:dyDescent="0.25">
      <c r="A4" s="17">
        <v>42474</v>
      </c>
      <c r="B4" s="6">
        <f>COUNTIF('Task4 Q1-8'!$B$2:$B$941,A4)</f>
        <v>33</v>
      </c>
      <c r="C4" s="6" t="str">
        <f t="shared" si="0"/>
        <v>Active</v>
      </c>
      <c r="D4" s="8">
        <f>AVERAGEIF('Task4 Q1-8'!$B$2:$B$941,A4,'Task4 Q1-8'!$D$2:$D$941)</f>
        <v>5.5993939624591302</v>
      </c>
      <c r="E4" s="6" t="str">
        <f t="shared" si="1"/>
        <v>Intermediate</v>
      </c>
      <c r="F4" s="6">
        <f>SUMIF('Task4 Q1-8'!$B$2:$B$941,A4,'Task4 Q1-8'!$C$2:$C$941)</f>
        <v>255538</v>
      </c>
      <c r="G4" s="6">
        <f>SUMIF('Task4 Q1-8'!$B$2:$B$941,A4,'Task4 Q1-8'!$H$2:$H$941)</f>
        <v>77761</v>
      </c>
      <c r="H4" s="8">
        <f>AVERAGEIF('Task4 Q1-8'!$B$2:$B$941,A4,'Task4 Q1-8'!$E$2:$E$941)</f>
        <v>20.939393939393938</v>
      </c>
      <c r="I4" s="8">
        <f>AVERAGEIF('Task4 Q1-8'!$B$2:$B$941,A4,'Task4 Q1-8'!$F$2:$F$941)</f>
        <v>12.393939393939394</v>
      </c>
      <c r="J4" s="18">
        <f>AVERAGEIF('Task4 Q1-8'!$B$2:$B$941,A4,'Task4 Q1-8'!$G$2:$G$941)</f>
        <v>201</v>
      </c>
    </row>
    <row r="5" spans="1:10" x14ac:dyDescent="0.25">
      <c r="A5" s="17">
        <v>42475</v>
      </c>
      <c r="B5" s="6">
        <f>COUNTIF('Task4 Q1-8'!$B$2:$B$941,A5)</f>
        <v>33</v>
      </c>
      <c r="C5" s="6" t="str">
        <f t="shared" si="0"/>
        <v>Active</v>
      </c>
      <c r="D5" s="8">
        <f>AVERAGEIF('Task4 Q1-8'!$B$2:$B$941,A5,'Task4 Q1-8'!$D$2:$D$941)</f>
        <v>5.2878787770415796</v>
      </c>
      <c r="E5" s="6" t="str">
        <f t="shared" si="1"/>
        <v>Intermediate</v>
      </c>
      <c r="F5" s="6">
        <f>SUMIF('Task4 Q1-8'!$B$2:$B$941,A5,'Task4 Q1-8'!$C$2:$C$941)</f>
        <v>248617</v>
      </c>
      <c r="G5" s="6">
        <f>SUMIF('Task4 Q1-8'!$B$2:$B$941,A5,'Task4 Q1-8'!$H$2:$H$941)</f>
        <v>77721</v>
      </c>
      <c r="H5" s="8">
        <f>AVERAGEIF('Task4 Q1-8'!$B$2:$B$941,A5,'Task4 Q1-8'!$E$2:$E$941)</f>
        <v>19.181818181818183</v>
      </c>
      <c r="I5" s="8">
        <f>AVERAGEIF('Task4 Q1-8'!$B$2:$B$941,A5,'Task4 Q1-8'!$F$2:$F$941)</f>
        <v>9.8787878787878789</v>
      </c>
      <c r="J5" s="18">
        <f>AVERAGEIF('Task4 Q1-8'!$B$2:$B$941,A5,'Task4 Q1-8'!$G$2:$G$941)</f>
        <v>213.84848484848484</v>
      </c>
    </row>
    <row r="6" spans="1:10" x14ac:dyDescent="0.25">
      <c r="A6" s="17">
        <v>42476</v>
      </c>
      <c r="B6" s="6">
        <f>COUNTIF('Task4 Q1-8'!$B$2:$B$941,A6)</f>
        <v>32</v>
      </c>
      <c r="C6" s="6" t="str">
        <f t="shared" si="0"/>
        <v>Active</v>
      </c>
      <c r="D6" s="8">
        <f>AVERAGEIF('Task4 Q1-8'!$B$2:$B$941,A6,'Task4 Q1-8'!$D$2:$D$941)</f>
        <v>6.2915625174646248</v>
      </c>
      <c r="E6" s="6" t="str">
        <f t="shared" si="1"/>
        <v>Pro</v>
      </c>
      <c r="F6" s="6">
        <f>SUMIF('Task4 Q1-8'!$B$2:$B$941,A6,'Task4 Q1-8'!$C$2:$C$941)</f>
        <v>277733</v>
      </c>
      <c r="G6" s="6">
        <f>SUMIF('Task4 Q1-8'!$B$2:$B$941,A6,'Task4 Q1-8'!$H$2:$H$941)</f>
        <v>76574</v>
      </c>
      <c r="H6" s="8">
        <f>AVERAGEIF('Task4 Q1-8'!$B$2:$B$941,A6,'Task4 Q1-8'!$E$2:$E$941)</f>
        <v>27.84375</v>
      </c>
      <c r="I6" s="8">
        <f>AVERAGEIF('Task4 Q1-8'!$B$2:$B$941,A6,'Task4 Q1-8'!$F$2:$F$941)</f>
        <v>15.125</v>
      </c>
      <c r="J6" s="18">
        <f>AVERAGEIF('Task4 Q1-8'!$B$2:$B$941,A6,'Task4 Q1-8'!$G$2:$G$941)</f>
        <v>193.8125</v>
      </c>
    </row>
    <row r="7" spans="1:10" x14ac:dyDescent="0.25">
      <c r="A7" s="17">
        <v>42477</v>
      </c>
      <c r="B7" s="6">
        <f>COUNTIF('Task4 Q1-8'!$B$2:$B$941,A7)</f>
        <v>32</v>
      </c>
      <c r="C7" s="6" t="str">
        <f t="shared" si="0"/>
        <v>Active</v>
      </c>
      <c r="D7" s="8">
        <f>AVERAGEIF('Task4 Q1-8'!$B$2:$B$941,A7,'Task4 Q1-8'!$D$2:$D$941)</f>
        <v>4.5406249602674507</v>
      </c>
      <c r="E7" s="6" t="str">
        <f t="shared" si="1"/>
        <v>Beginner</v>
      </c>
      <c r="F7" s="6">
        <f>SUMIF('Task4 Q1-8'!$B$2:$B$941,A7,'Task4 Q1-8'!$C$2:$C$941)</f>
        <v>205096</v>
      </c>
      <c r="G7" s="6">
        <f>SUMIF('Task4 Q1-8'!$B$2:$B$941,A7,'Task4 Q1-8'!$H$2:$H$941)</f>
        <v>71391</v>
      </c>
      <c r="H7" s="8">
        <f>AVERAGEIF('Task4 Q1-8'!$B$2:$B$941,A7,'Task4 Q1-8'!$E$2:$E$941)</f>
        <v>18.90625</v>
      </c>
      <c r="I7" s="8">
        <f>AVERAGEIF('Task4 Q1-8'!$B$2:$B$941,A7,'Task4 Q1-8'!$F$2:$F$941)</f>
        <v>11.84375</v>
      </c>
      <c r="J7" s="18">
        <f>AVERAGEIF('Task4 Q1-8'!$B$2:$B$941,A7,'Task4 Q1-8'!$G$2:$G$941)</f>
        <v>165.34375</v>
      </c>
    </row>
    <row r="8" spans="1:10" x14ac:dyDescent="0.25">
      <c r="A8" s="17">
        <v>42478</v>
      </c>
      <c r="B8" s="6">
        <f>COUNTIF('Task4 Q1-8'!$B$2:$B$941,A8)</f>
        <v>32</v>
      </c>
      <c r="C8" s="6" t="str">
        <f t="shared" si="0"/>
        <v>Active</v>
      </c>
      <c r="D8" s="8">
        <f>AVERAGEIF('Task4 Q1-8'!$B$2:$B$941,A8,'Task4 Q1-8'!$D$2:$D$941)</f>
        <v>5.657812474993988</v>
      </c>
      <c r="E8" s="6" t="str">
        <f t="shared" si="1"/>
        <v>Intermediate</v>
      </c>
      <c r="F8" s="6">
        <f>SUMIF('Task4 Q1-8'!$B$2:$B$941,A8,'Task4 Q1-8'!$C$2:$C$941)</f>
        <v>252703</v>
      </c>
      <c r="G8" s="6">
        <f>SUMIF('Task4 Q1-8'!$B$2:$B$941,A8,'Task4 Q1-8'!$H$2:$H$941)</f>
        <v>74668</v>
      </c>
      <c r="H8" s="8">
        <f>AVERAGEIF('Task4 Q1-8'!$B$2:$B$941,A8,'Task4 Q1-8'!$E$2:$E$941)</f>
        <v>24.40625</v>
      </c>
      <c r="I8" s="8">
        <f>AVERAGEIF('Task4 Q1-8'!$B$2:$B$941,A8,'Task4 Q1-8'!$F$2:$F$941)</f>
        <v>16.125</v>
      </c>
      <c r="J8" s="18">
        <f>AVERAGEIF('Task4 Q1-8'!$B$2:$B$941,A8,'Task4 Q1-8'!$G$2:$G$941)</f>
        <v>188.28125</v>
      </c>
    </row>
    <row r="9" spans="1:10" x14ac:dyDescent="0.25">
      <c r="A9" s="17">
        <v>42479</v>
      </c>
      <c r="B9" s="6">
        <f>COUNTIF('Task4 Q1-8'!$B$2:$B$941,A9)</f>
        <v>32</v>
      </c>
      <c r="C9" s="6" t="str">
        <f t="shared" si="0"/>
        <v>Active</v>
      </c>
      <c r="D9" s="8">
        <f>AVERAGEIF('Task4 Q1-8'!$B$2:$B$941,A9,'Task4 Q1-8'!$D$2:$D$941)</f>
        <v>5.8718749247491324</v>
      </c>
      <c r="E9" s="6" t="str">
        <f t="shared" si="1"/>
        <v>Intermediate</v>
      </c>
      <c r="F9" s="6">
        <f>SUMIF('Task4 Q1-8'!$B$2:$B$941,A9,'Task4 Q1-8'!$C$2:$C$941)</f>
        <v>257557</v>
      </c>
      <c r="G9" s="6">
        <f>SUMIF('Task4 Q1-8'!$B$2:$B$941,A9,'Task4 Q1-8'!$H$2:$H$941)</f>
        <v>75491</v>
      </c>
      <c r="H9" s="8">
        <f>AVERAGEIF('Task4 Q1-8'!$B$2:$B$941,A9,'Task4 Q1-8'!$E$2:$E$941)</f>
        <v>23.96875</v>
      </c>
      <c r="I9" s="8">
        <f>AVERAGEIF('Task4 Q1-8'!$B$2:$B$941,A9,'Task4 Q1-8'!$F$2:$F$941)</f>
        <v>13.78125</v>
      </c>
      <c r="J9" s="18">
        <f>AVERAGEIF('Task4 Q1-8'!$B$2:$B$941,A9,'Task4 Q1-8'!$G$2:$G$941)</f>
        <v>201.90625</v>
      </c>
    </row>
    <row r="10" spans="1:10" x14ac:dyDescent="0.25">
      <c r="A10" s="17">
        <v>42480</v>
      </c>
      <c r="B10" s="6">
        <f>COUNTIF('Task4 Q1-8'!$B$2:$B$941,A10)</f>
        <v>32</v>
      </c>
      <c r="C10" s="6" t="str">
        <f t="shared" si="0"/>
        <v>Active</v>
      </c>
      <c r="D10" s="8">
        <f>AVERAGEIF('Task4 Q1-8'!$B$2:$B$941,A10,'Task4 Q1-8'!$D$2:$D$941)</f>
        <v>5.9503125439514415</v>
      </c>
      <c r="E10" s="6" t="str">
        <f t="shared" si="1"/>
        <v>Intermediate</v>
      </c>
      <c r="F10" s="6">
        <f>SUMIF('Task4 Q1-8'!$B$2:$B$941,A10,'Task4 Q1-8'!$C$2:$C$941)</f>
        <v>261215</v>
      </c>
      <c r="G10" s="6">
        <f>SUMIF('Task4 Q1-8'!$B$2:$B$941,A10,'Task4 Q1-8'!$H$2:$H$941)</f>
        <v>76647</v>
      </c>
      <c r="H10" s="8">
        <f>AVERAGEIF('Task4 Q1-8'!$B$2:$B$941,A10,'Task4 Q1-8'!$E$2:$E$941)</f>
        <v>24.1875</v>
      </c>
      <c r="I10" s="8">
        <f>AVERAGEIF('Task4 Q1-8'!$B$2:$B$941,A10,'Task4 Q1-8'!$F$2:$F$941)</f>
        <v>18.75</v>
      </c>
      <c r="J10" s="18">
        <f>AVERAGEIF('Task4 Q1-8'!$B$2:$B$941,A10,'Task4 Q1-8'!$G$2:$G$941)</f>
        <v>203.59375</v>
      </c>
    </row>
    <row r="11" spans="1:10" x14ac:dyDescent="0.25">
      <c r="A11" s="17">
        <v>42481</v>
      </c>
      <c r="B11" s="6">
        <f>COUNTIF('Task4 Q1-8'!$B$2:$B$941,A11)</f>
        <v>32</v>
      </c>
      <c r="C11" s="6" t="str">
        <f t="shared" si="0"/>
        <v>Active</v>
      </c>
      <c r="D11" s="8">
        <f>AVERAGEIF('Task4 Q1-8'!$B$2:$B$941,A11,'Task4 Q1-8'!$D$2:$D$941)</f>
        <v>6.030000067315993</v>
      </c>
      <c r="E11" s="6" t="str">
        <f t="shared" si="1"/>
        <v>Pro</v>
      </c>
      <c r="F11" s="6">
        <f>SUMIF('Task4 Q1-8'!$B$2:$B$941,A11,'Task4 Q1-8'!$C$2:$C$941)</f>
        <v>263795</v>
      </c>
      <c r="G11" s="6">
        <f>SUMIF('Task4 Q1-8'!$B$2:$B$941,A11,'Task4 Q1-8'!$H$2:$H$941)</f>
        <v>77500</v>
      </c>
      <c r="H11" s="8">
        <f>AVERAGEIF('Task4 Q1-8'!$B$2:$B$941,A11,'Task4 Q1-8'!$E$2:$E$941)</f>
        <v>26.84375</v>
      </c>
      <c r="I11" s="8">
        <f>AVERAGEIF('Task4 Q1-8'!$B$2:$B$941,A11,'Task4 Q1-8'!$F$2:$F$941)</f>
        <v>14.9375</v>
      </c>
      <c r="J11" s="18">
        <f>AVERAGEIF('Task4 Q1-8'!$B$2:$B$941,A11,'Task4 Q1-8'!$G$2:$G$941)</f>
        <v>182.65625</v>
      </c>
    </row>
    <row r="12" spans="1:10" x14ac:dyDescent="0.25">
      <c r="A12" s="17">
        <v>42482</v>
      </c>
      <c r="B12" s="6">
        <f>COUNTIF('Task4 Q1-8'!$B$2:$B$941,A12)</f>
        <v>32</v>
      </c>
      <c r="C12" s="6" t="str">
        <f t="shared" si="0"/>
        <v>Active</v>
      </c>
      <c r="D12" s="8">
        <f>AVERAGEIF('Task4 Q1-8'!$B$2:$B$941,A12,'Task4 Q1-8'!$D$2:$D$941)</f>
        <v>5.3278124725911784</v>
      </c>
      <c r="E12" s="6" t="str">
        <f t="shared" si="1"/>
        <v>Intermediate</v>
      </c>
      <c r="F12" s="6">
        <f>SUMIF('Task4 Q1-8'!$B$2:$B$941,A12,'Task4 Q1-8'!$C$2:$C$941)</f>
        <v>238284</v>
      </c>
      <c r="G12" s="6">
        <f>SUMIF('Task4 Q1-8'!$B$2:$B$941,A12,'Task4 Q1-8'!$H$2:$H$941)</f>
        <v>74485</v>
      </c>
      <c r="H12" s="8">
        <f>AVERAGEIF('Task4 Q1-8'!$B$2:$B$941,A12,'Task4 Q1-8'!$E$2:$E$941)</f>
        <v>24.4375</v>
      </c>
      <c r="I12" s="8">
        <f>AVERAGEIF('Task4 Q1-8'!$B$2:$B$941,A12,'Task4 Q1-8'!$F$2:$F$941)</f>
        <v>13.25</v>
      </c>
      <c r="J12" s="18">
        <f>AVERAGEIF('Task4 Q1-8'!$B$2:$B$941,A12,'Task4 Q1-8'!$G$2:$G$941)</f>
        <v>195.53125</v>
      </c>
    </row>
    <row r="13" spans="1:10" x14ac:dyDescent="0.25">
      <c r="A13" s="17">
        <v>42483</v>
      </c>
      <c r="B13" s="6">
        <f>COUNTIF('Task4 Q1-8'!$B$2:$B$941,A13)</f>
        <v>32</v>
      </c>
      <c r="C13" s="6" t="str">
        <f t="shared" si="0"/>
        <v>Active</v>
      </c>
      <c r="D13" s="8">
        <f>AVERAGEIF('Task4 Q1-8'!$B$2:$B$941,A13,'Task4 Q1-8'!$D$2:$D$941)</f>
        <v>5.8412500396370906</v>
      </c>
      <c r="E13" s="6" t="str">
        <f t="shared" si="1"/>
        <v>Intermediate</v>
      </c>
      <c r="F13" s="6">
        <f>SUMIF('Task4 Q1-8'!$B$2:$B$941,A13,'Task4 Q1-8'!$C$2:$C$941)</f>
        <v>267124</v>
      </c>
      <c r="G13" s="6">
        <f>SUMIF('Task4 Q1-8'!$B$2:$B$941,A13,'Task4 Q1-8'!$H$2:$H$941)</f>
        <v>76709</v>
      </c>
      <c r="H13" s="8">
        <f>AVERAGEIF('Task4 Q1-8'!$B$2:$B$941,A13,'Task4 Q1-8'!$E$2:$E$941)</f>
        <v>18.78125</v>
      </c>
      <c r="I13" s="8">
        <f>AVERAGEIF('Task4 Q1-8'!$B$2:$B$941,A13,'Task4 Q1-8'!$F$2:$F$941)</f>
        <v>15.03125</v>
      </c>
      <c r="J13" s="18">
        <f>AVERAGEIF('Task4 Q1-8'!$B$2:$B$941,A13,'Task4 Q1-8'!$G$2:$G$941)</f>
        <v>232.90625</v>
      </c>
    </row>
    <row r="14" spans="1:10" x14ac:dyDescent="0.25">
      <c r="A14" s="17">
        <v>42484</v>
      </c>
      <c r="B14" s="6">
        <f>COUNTIF('Task4 Q1-8'!$B$2:$B$941,A14)</f>
        <v>32</v>
      </c>
      <c r="C14" s="6" t="str">
        <f t="shared" si="0"/>
        <v>Active</v>
      </c>
      <c r="D14" s="8">
        <f>AVERAGEIF('Task4 Q1-8'!$B$2:$B$941,A14,'Task4 Q1-8'!$D$2:$D$941)</f>
        <v>5.4675000272691285</v>
      </c>
      <c r="E14" s="6" t="str">
        <f t="shared" si="1"/>
        <v>Intermediate</v>
      </c>
      <c r="F14" s="6">
        <f>SUMIF('Task4 Q1-8'!$B$2:$B$941,A14,'Task4 Q1-8'!$C$2:$C$941)</f>
        <v>236621</v>
      </c>
      <c r="G14" s="6">
        <f>SUMIF('Task4 Q1-8'!$B$2:$B$941,A14,'Task4 Q1-8'!$H$2:$H$941)</f>
        <v>73326</v>
      </c>
      <c r="H14" s="8">
        <f>AVERAGEIF('Task4 Q1-8'!$B$2:$B$941,A14,'Task4 Q1-8'!$E$2:$E$941)</f>
        <v>21.03125</v>
      </c>
      <c r="I14" s="8">
        <f>AVERAGEIF('Task4 Q1-8'!$B$2:$B$941,A14,'Task4 Q1-8'!$F$2:$F$941)</f>
        <v>13.71875</v>
      </c>
      <c r="J14" s="18">
        <f>AVERAGEIF('Task4 Q1-8'!$B$2:$B$941,A14,'Task4 Q1-8'!$G$2:$G$941)</f>
        <v>186.3125</v>
      </c>
    </row>
    <row r="15" spans="1:10" x14ac:dyDescent="0.25">
      <c r="A15" s="17">
        <v>42485</v>
      </c>
      <c r="B15" s="6">
        <f>COUNTIF('Task4 Q1-8'!$B$2:$B$941,A15)</f>
        <v>32</v>
      </c>
      <c r="C15" s="6" t="str">
        <f t="shared" si="0"/>
        <v>Active</v>
      </c>
      <c r="D15" s="8">
        <f>AVERAGEIF('Task4 Q1-8'!$B$2:$B$941,A15,'Task4 Q1-8'!$D$2:$D$941)</f>
        <v>5.6328125181607911</v>
      </c>
      <c r="E15" s="6" t="str">
        <f t="shared" si="1"/>
        <v>Intermediate</v>
      </c>
      <c r="F15" s="6">
        <f>SUMIF('Task4 Q1-8'!$B$2:$B$941,A15,'Task4 Q1-8'!$C$2:$C$941)</f>
        <v>253849</v>
      </c>
      <c r="G15" s="6">
        <f>SUMIF('Task4 Q1-8'!$B$2:$B$941,A15,'Task4 Q1-8'!$H$2:$H$941)</f>
        <v>75186</v>
      </c>
      <c r="H15" s="8">
        <f>AVERAGEIF('Task4 Q1-8'!$B$2:$B$941,A15,'Task4 Q1-8'!$E$2:$E$941)</f>
        <v>28.40625</v>
      </c>
      <c r="I15" s="8">
        <f>AVERAGEIF('Task4 Q1-8'!$B$2:$B$941,A15,'Task4 Q1-8'!$F$2:$F$941)</f>
        <v>11.375</v>
      </c>
      <c r="J15" s="18">
        <f>AVERAGEIF('Task4 Q1-8'!$B$2:$B$941,A15,'Task4 Q1-8'!$G$2:$G$941)</f>
        <v>192.875</v>
      </c>
    </row>
    <row r="16" spans="1:10" x14ac:dyDescent="0.25">
      <c r="A16" s="17">
        <v>42486</v>
      </c>
      <c r="B16" s="6">
        <f>COUNTIF('Task4 Q1-8'!$B$2:$B$941,A16)</f>
        <v>32</v>
      </c>
      <c r="C16" s="6" t="str">
        <f t="shared" si="0"/>
        <v>Active</v>
      </c>
      <c r="D16" s="8">
        <f>AVERAGEIF('Task4 Q1-8'!$B$2:$B$941,A16,'Task4 Q1-8'!$D$2:$D$941)</f>
        <v>5.5346875265240651</v>
      </c>
      <c r="E16" s="6" t="str">
        <f t="shared" si="1"/>
        <v>Intermediate</v>
      </c>
      <c r="F16" s="6">
        <f>SUMIF('Task4 Q1-8'!$B$2:$B$941,A16,'Task4 Q1-8'!$C$2:$C$941)</f>
        <v>250688</v>
      </c>
      <c r="G16" s="6">
        <f>SUMIF('Task4 Q1-8'!$B$2:$B$941,A16,'Task4 Q1-8'!$H$2:$H$941)</f>
        <v>74604</v>
      </c>
      <c r="H16" s="8">
        <f>AVERAGEIF('Task4 Q1-8'!$B$2:$B$941,A16,'Task4 Q1-8'!$E$2:$E$941)</f>
        <v>19.8125</v>
      </c>
      <c r="I16" s="8">
        <f>AVERAGEIF('Task4 Q1-8'!$B$2:$B$941,A16,'Task4 Q1-8'!$F$2:$F$941)</f>
        <v>17.625</v>
      </c>
      <c r="J16" s="18">
        <f>AVERAGEIF('Task4 Q1-8'!$B$2:$B$941,A16,'Task4 Q1-8'!$G$2:$G$941)</f>
        <v>200.25</v>
      </c>
    </row>
    <row r="17" spans="1:10" x14ac:dyDescent="0.25">
      <c r="A17" s="17">
        <v>42487</v>
      </c>
      <c r="B17" s="6">
        <f>COUNTIF('Task4 Q1-8'!$B$2:$B$941,A17)</f>
        <v>32</v>
      </c>
      <c r="C17" s="6" t="str">
        <f t="shared" si="0"/>
        <v>Active</v>
      </c>
      <c r="D17" s="8">
        <f>AVERAGEIF('Task4 Q1-8'!$B$2:$B$941,A17,'Task4 Q1-8'!$D$2:$D$941)</f>
        <v>5.9153124988079089</v>
      </c>
      <c r="E17" s="6" t="str">
        <f t="shared" si="1"/>
        <v>Intermediate</v>
      </c>
      <c r="F17" s="6">
        <f>SUMIF('Task4 Q1-8'!$B$2:$B$941,A17,'Task4 Q1-8'!$C$2:$C$941)</f>
        <v>258516</v>
      </c>
      <c r="G17" s="6">
        <f>SUMIF('Task4 Q1-8'!$B$2:$B$941,A17,'Task4 Q1-8'!$H$2:$H$941)</f>
        <v>74514</v>
      </c>
      <c r="H17" s="8">
        <f>AVERAGEIF('Task4 Q1-8'!$B$2:$B$941,A17,'Task4 Q1-8'!$E$2:$E$941)</f>
        <v>23.65625</v>
      </c>
      <c r="I17" s="8">
        <f>AVERAGEIF('Task4 Q1-8'!$B$2:$B$941,A17,'Task4 Q1-8'!$F$2:$F$941)</f>
        <v>10.78125</v>
      </c>
      <c r="J17" s="18">
        <f>AVERAGEIF('Task4 Q1-8'!$B$2:$B$941,A17,'Task4 Q1-8'!$G$2:$G$941)</f>
        <v>197.5625</v>
      </c>
    </row>
    <row r="18" spans="1:10" x14ac:dyDescent="0.25">
      <c r="A18" s="17">
        <v>42488</v>
      </c>
      <c r="B18" s="6">
        <f>COUNTIF('Task4 Q1-8'!$B$2:$B$941,A18)</f>
        <v>32</v>
      </c>
      <c r="C18" s="6" t="str">
        <f t="shared" si="0"/>
        <v>Active</v>
      </c>
      <c r="D18" s="8">
        <f>AVERAGEIF('Task4 Q1-8'!$B$2:$B$941,A18,'Task4 Q1-8'!$D$2:$D$941)</f>
        <v>5.3615625165402907</v>
      </c>
      <c r="E18" s="6" t="str">
        <f t="shared" si="1"/>
        <v>Intermediate</v>
      </c>
      <c r="F18" s="6">
        <f>SUMIF('Task4 Q1-8'!$B$2:$B$941,A18,'Task4 Q1-8'!$C$2:$C$941)</f>
        <v>242996</v>
      </c>
      <c r="G18" s="6">
        <f>SUMIF('Task4 Q1-8'!$B$2:$B$941,A18,'Task4 Q1-8'!$H$2:$H$941)</f>
        <v>74114</v>
      </c>
      <c r="H18" s="8">
        <f>AVERAGEIF('Task4 Q1-8'!$B$2:$B$941,A18,'Task4 Q1-8'!$E$2:$E$941)</f>
        <v>17.96875</v>
      </c>
      <c r="I18" s="8">
        <f>AVERAGEIF('Task4 Q1-8'!$B$2:$B$941,A18,'Task4 Q1-8'!$F$2:$F$941)</f>
        <v>11.8125</v>
      </c>
      <c r="J18" s="18">
        <f>AVERAGEIF('Task4 Q1-8'!$B$2:$B$941,A18,'Task4 Q1-8'!$G$2:$G$941)</f>
        <v>209.1875</v>
      </c>
    </row>
    <row r="19" spans="1:10" x14ac:dyDescent="0.25">
      <c r="A19" s="17">
        <v>42489</v>
      </c>
      <c r="B19" s="6">
        <f>COUNTIF('Task4 Q1-8'!$B$2:$B$941,A19)</f>
        <v>32</v>
      </c>
      <c r="C19" s="6" t="str">
        <f t="shared" si="0"/>
        <v>Active</v>
      </c>
      <c r="D19" s="8">
        <f>AVERAGEIF('Task4 Q1-8'!$B$2:$B$941,A19,'Task4 Q1-8'!$D$2:$D$941)</f>
        <v>5.1812499882071306</v>
      </c>
      <c r="E19" s="6" t="str">
        <f t="shared" si="1"/>
        <v>Intermediate</v>
      </c>
      <c r="F19" s="6">
        <f>SUMIF('Task4 Q1-8'!$B$2:$B$941,A19,'Task4 Q1-8'!$C$2:$C$941)</f>
        <v>234289</v>
      </c>
      <c r="G19" s="6">
        <f>SUMIF('Task4 Q1-8'!$B$2:$B$941,A19,'Task4 Q1-8'!$H$2:$H$941)</f>
        <v>72722</v>
      </c>
      <c r="H19" s="8">
        <f>AVERAGEIF('Task4 Q1-8'!$B$2:$B$941,A19,'Task4 Q1-8'!$E$2:$E$941)</f>
        <v>16.25</v>
      </c>
      <c r="I19" s="8">
        <f>AVERAGEIF('Task4 Q1-8'!$B$2:$B$941,A19,'Task4 Q1-8'!$F$2:$F$941)</f>
        <v>14</v>
      </c>
      <c r="J19" s="18">
        <f>AVERAGEIF('Task4 Q1-8'!$B$2:$B$941,A19,'Task4 Q1-8'!$G$2:$G$941)</f>
        <v>204.96875</v>
      </c>
    </row>
    <row r="20" spans="1:10" x14ac:dyDescent="0.25">
      <c r="A20" s="17">
        <v>42490</v>
      </c>
      <c r="B20" s="6">
        <f>COUNTIF('Task4 Q1-8'!$B$2:$B$941,A20)</f>
        <v>31</v>
      </c>
      <c r="C20" s="6" t="str">
        <f t="shared" si="0"/>
        <v>Active</v>
      </c>
      <c r="D20" s="8">
        <f>AVERAGEIF('Task4 Q1-8'!$B$2:$B$941,A20,'Task4 Q1-8'!$D$2:$D$941)</f>
        <v>6.1006451037622274</v>
      </c>
      <c r="E20" s="6" t="str">
        <f t="shared" si="1"/>
        <v>Pro</v>
      </c>
      <c r="F20" s="6">
        <f>SUMIF('Task4 Q1-8'!$B$2:$B$941,A20,'Task4 Q1-8'!$C$2:$C$941)</f>
        <v>258726</v>
      </c>
      <c r="G20" s="6">
        <f>SUMIF('Task4 Q1-8'!$B$2:$B$941,A20,'Task4 Q1-8'!$H$2:$H$941)</f>
        <v>73592</v>
      </c>
      <c r="H20" s="8">
        <f>AVERAGEIF('Task4 Q1-8'!$B$2:$B$941,A20,'Task4 Q1-8'!$E$2:$E$941)</f>
        <v>20.258064516129032</v>
      </c>
      <c r="I20" s="8">
        <f>AVERAGEIF('Task4 Q1-8'!$B$2:$B$941,A20,'Task4 Q1-8'!$F$2:$F$941)</f>
        <v>16.548387096774192</v>
      </c>
      <c r="J20" s="18">
        <f>AVERAGEIF('Task4 Q1-8'!$B$2:$B$941,A20,'Task4 Q1-8'!$G$2:$G$941)</f>
        <v>218.54838709677421</v>
      </c>
    </row>
    <row r="21" spans="1:10" x14ac:dyDescent="0.25">
      <c r="A21" s="17">
        <v>42491</v>
      </c>
      <c r="B21" s="6">
        <f>COUNTIF('Task4 Q1-8'!$B$2:$B$941,A21)</f>
        <v>30</v>
      </c>
      <c r="C21" s="6" t="str">
        <f t="shared" si="0"/>
        <v>Active</v>
      </c>
      <c r="D21" s="8">
        <f>AVERAGEIF('Task4 Q1-8'!$B$2:$B$941,A21,'Task4 Q1-8'!$D$2:$D$941)</f>
        <v>4.9749999940395355</v>
      </c>
      <c r="E21" s="6" t="str">
        <f t="shared" si="1"/>
        <v>Beginner</v>
      </c>
      <c r="F21" s="6">
        <f>SUMIF('Task4 Q1-8'!$B$2:$B$941,A21,'Task4 Q1-8'!$C$2:$C$941)</f>
        <v>206870</v>
      </c>
      <c r="G21" s="6">
        <f>SUMIF('Task4 Q1-8'!$B$2:$B$941,A21,'Task4 Q1-8'!$H$2:$H$941)</f>
        <v>66913</v>
      </c>
      <c r="H21" s="8">
        <f>AVERAGEIF('Task4 Q1-8'!$B$2:$B$941,A21,'Task4 Q1-8'!$E$2:$E$941)</f>
        <v>22.633333333333333</v>
      </c>
      <c r="I21" s="8">
        <f>AVERAGEIF('Task4 Q1-8'!$B$2:$B$941,A21,'Task4 Q1-8'!$F$2:$F$941)</f>
        <v>15.7</v>
      </c>
      <c r="J21" s="18">
        <f>AVERAGEIF('Task4 Q1-8'!$B$2:$B$941,A21,'Task4 Q1-8'!$G$2:$G$941)</f>
        <v>160.26666666666668</v>
      </c>
    </row>
    <row r="22" spans="1:10" x14ac:dyDescent="0.25">
      <c r="A22" s="17">
        <v>42492</v>
      </c>
      <c r="B22" s="6">
        <f>COUNTIF('Task4 Q1-8'!$B$2:$B$941,A22)</f>
        <v>29</v>
      </c>
      <c r="C22" s="6" t="str">
        <f t="shared" si="0"/>
        <v>Active</v>
      </c>
      <c r="D22" s="8">
        <f>AVERAGEIF('Task4 Q1-8'!$B$2:$B$941,A22,'Task4 Q1-8'!$D$2:$D$941)</f>
        <v>4.9672413643064184</v>
      </c>
      <c r="E22" s="6" t="str">
        <f t="shared" si="1"/>
        <v>Beginner</v>
      </c>
      <c r="F22" s="6">
        <f>SUMIF('Task4 Q1-8'!$B$2:$B$941,A22,'Task4 Q1-8'!$C$2:$C$941)</f>
        <v>204434</v>
      </c>
      <c r="G22" s="6">
        <f>SUMIF('Task4 Q1-8'!$B$2:$B$941,A22,'Task4 Q1-8'!$H$2:$H$941)</f>
        <v>65988</v>
      </c>
      <c r="H22" s="8">
        <f>AVERAGEIF('Task4 Q1-8'!$B$2:$B$941,A22,'Task4 Q1-8'!$E$2:$E$941)</f>
        <v>16.068965517241381</v>
      </c>
      <c r="I22" s="8">
        <f>AVERAGEIF('Task4 Q1-8'!$B$2:$B$941,A22,'Task4 Q1-8'!$F$2:$F$941)</f>
        <v>13.172413793103448</v>
      </c>
      <c r="J22" s="18">
        <f>AVERAGEIF('Task4 Q1-8'!$B$2:$B$941,A22,'Task4 Q1-8'!$G$2:$G$941)</f>
        <v>186.82758620689654</v>
      </c>
    </row>
    <row r="23" spans="1:10" x14ac:dyDescent="0.25">
      <c r="A23" s="17">
        <v>42493</v>
      </c>
      <c r="B23" s="6">
        <f>COUNTIF('Task4 Q1-8'!$B$2:$B$941,A23)</f>
        <v>29</v>
      </c>
      <c r="C23" s="6" t="str">
        <f t="shared" si="0"/>
        <v>Active</v>
      </c>
      <c r="D23" s="8">
        <f>AVERAGEIF('Task4 Q1-8'!$B$2:$B$941,A23,'Task4 Q1-8'!$D$2:$D$941)</f>
        <v>6.0944827448833614</v>
      </c>
      <c r="E23" s="6" t="str">
        <f t="shared" si="1"/>
        <v>Pro</v>
      </c>
      <c r="F23" s="6">
        <f>SUMIF('Task4 Q1-8'!$B$2:$B$941,A23,'Task4 Q1-8'!$C$2:$C$941)</f>
        <v>248203</v>
      </c>
      <c r="G23" s="6">
        <f>SUMIF('Task4 Q1-8'!$B$2:$B$941,A23,'Task4 Q1-8'!$H$2:$H$941)</f>
        <v>71163</v>
      </c>
      <c r="H23" s="8">
        <f>AVERAGEIF('Task4 Q1-8'!$B$2:$B$941,A23,'Task4 Q1-8'!$E$2:$E$941)</f>
        <v>24.931034482758619</v>
      </c>
      <c r="I23" s="8">
        <f>AVERAGEIF('Task4 Q1-8'!$B$2:$B$941,A23,'Task4 Q1-8'!$F$2:$F$941)</f>
        <v>14.827586206896552</v>
      </c>
      <c r="J23" s="18">
        <f>AVERAGEIF('Task4 Q1-8'!$B$2:$B$941,A23,'Task4 Q1-8'!$G$2:$G$941)</f>
        <v>203.34482758620689</v>
      </c>
    </row>
    <row r="24" spans="1:10" x14ac:dyDescent="0.25">
      <c r="A24" s="17">
        <v>42494</v>
      </c>
      <c r="B24" s="6">
        <f>COUNTIF('Task4 Q1-8'!$B$2:$B$941,A24)</f>
        <v>29</v>
      </c>
      <c r="C24" s="6" t="str">
        <f t="shared" si="0"/>
        <v>Active</v>
      </c>
      <c r="D24" s="8">
        <f>AVERAGEIF('Task4 Q1-8'!$B$2:$B$941,A24,'Task4 Q1-8'!$D$2:$D$941)</f>
        <v>4.9403447919878456</v>
      </c>
      <c r="E24" s="6" t="str">
        <f t="shared" si="1"/>
        <v>Beginner</v>
      </c>
      <c r="F24" s="6">
        <f>SUMIF('Task4 Q1-8'!$B$2:$B$941,A24,'Task4 Q1-8'!$C$2:$C$941)</f>
        <v>196149</v>
      </c>
      <c r="G24" s="6">
        <f>SUMIF('Task4 Q1-8'!$B$2:$B$941,A24,'Task4 Q1-8'!$H$2:$H$941)</f>
        <v>66211</v>
      </c>
      <c r="H24" s="8">
        <f>AVERAGEIF('Task4 Q1-8'!$B$2:$B$941,A24,'Task4 Q1-8'!$E$2:$E$941)</f>
        <v>13.96551724137931</v>
      </c>
      <c r="I24" s="8">
        <f>AVERAGEIF('Task4 Q1-8'!$B$2:$B$941,A24,'Task4 Q1-8'!$F$2:$F$941)</f>
        <v>11.137931034482758</v>
      </c>
      <c r="J24" s="18">
        <f>AVERAGEIF('Task4 Q1-8'!$B$2:$B$941,A24,'Task4 Q1-8'!$G$2:$G$941)</f>
        <v>179.79310344827587</v>
      </c>
    </row>
    <row r="25" spans="1:10" x14ac:dyDescent="0.25">
      <c r="A25" s="17">
        <v>42495</v>
      </c>
      <c r="B25" s="6">
        <f>COUNTIF('Task4 Q1-8'!$B$2:$B$941,A25)</f>
        <v>29</v>
      </c>
      <c r="C25" s="6" t="str">
        <f t="shared" si="0"/>
        <v>Active</v>
      </c>
      <c r="D25" s="8">
        <f>AVERAGEIF('Task4 Q1-8'!$B$2:$B$941,A25,'Task4 Q1-8'!$D$2:$D$941)</f>
        <v>6.2165517437046933</v>
      </c>
      <c r="E25" s="6" t="str">
        <f t="shared" si="1"/>
        <v>Pro</v>
      </c>
      <c r="F25" s="6">
        <f>SUMIF('Task4 Q1-8'!$B$2:$B$941,A25,'Task4 Q1-8'!$C$2:$C$941)</f>
        <v>253200</v>
      </c>
      <c r="G25" s="6">
        <f>SUMIF('Task4 Q1-8'!$B$2:$B$941,A25,'Task4 Q1-8'!$H$2:$H$941)</f>
        <v>70037</v>
      </c>
      <c r="H25" s="8">
        <f>AVERAGEIF('Task4 Q1-8'!$B$2:$B$941,A25,'Task4 Q1-8'!$E$2:$E$941)</f>
        <v>22.068965517241381</v>
      </c>
      <c r="I25" s="8">
        <f>AVERAGEIF('Task4 Q1-8'!$B$2:$B$941,A25,'Task4 Q1-8'!$F$2:$F$941)</f>
        <v>15.448275862068966</v>
      </c>
      <c r="J25" s="18">
        <f>AVERAGEIF('Task4 Q1-8'!$B$2:$B$941,A25,'Task4 Q1-8'!$G$2:$G$941)</f>
        <v>207.24137931034483</v>
      </c>
    </row>
    <row r="26" spans="1:10" x14ac:dyDescent="0.25">
      <c r="A26" s="17">
        <v>42496</v>
      </c>
      <c r="B26" s="6">
        <f>COUNTIF('Task4 Q1-8'!$B$2:$B$941,A26)</f>
        <v>29</v>
      </c>
      <c r="C26" s="6" t="str">
        <f t="shared" si="0"/>
        <v>Active</v>
      </c>
      <c r="D26" s="8">
        <f>AVERAGEIF('Task4 Q1-8'!$B$2:$B$941,A26,'Task4 Q1-8'!$D$2:$D$941)</f>
        <v>5.4572413758342639</v>
      </c>
      <c r="E26" s="6" t="str">
        <f t="shared" si="1"/>
        <v>Intermediate</v>
      </c>
      <c r="F26" s="6">
        <f>SUMIF('Task4 Q1-8'!$B$2:$B$941,A26,'Task4 Q1-8'!$C$2:$C$941)</f>
        <v>217287</v>
      </c>
      <c r="G26" s="6">
        <f>SUMIF('Task4 Q1-8'!$B$2:$B$941,A26,'Task4 Q1-8'!$H$2:$H$941)</f>
        <v>68877</v>
      </c>
      <c r="H26" s="8">
        <f>AVERAGEIF('Task4 Q1-8'!$B$2:$B$941,A26,'Task4 Q1-8'!$E$2:$E$941)</f>
        <v>20.413793103448278</v>
      </c>
      <c r="I26" s="8">
        <f>AVERAGEIF('Task4 Q1-8'!$B$2:$B$941,A26,'Task4 Q1-8'!$F$2:$F$941)</f>
        <v>11.310344827586206</v>
      </c>
      <c r="J26" s="18">
        <f>AVERAGEIF('Task4 Q1-8'!$B$2:$B$941,A26,'Task4 Q1-8'!$G$2:$G$941)</f>
        <v>201.93103448275863</v>
      </c>
    </row>
    <row r="27" spans="1:10" x14ac:dyDescent="0.25">
      <c r="A27" s="17">
        <v>42497</v>
      </c>
      <c r="B27" s="6">
        <f>COUNTIF('Task4 Q1-8'!$B$2:$B$941,A27)</f>
        <v>29</v>
      </c>
      <c r="C27" s="6" t="str">
        <f t="shared" si="0"/>
        <v>Active</v>
      </c>
      <c r="D27" s="8">
        <f>AVERAGEIF('Task4 Q1-8'!$B$2:$B$941,A27,'Task4 Q1-8'!$D$2:$D$941)</f>
        <v>5.1244827714459618</v>
      </c>
      <c r="E27" s="6" t="str">
        <f t="shared" si="1"/>
        <v>Intermediate</v>
      </c>
      <c r="F27" s="6">
        <f>SUMIF('Task4 Q1-8'!$B$2:$B$941,A27,'Task4 Q1-8'!$C$2:$C$941)</f>
        <v>207386</v>
      </c>
      <c r="G27" s="6">
        <f>SUMIF('Task4 Q1-8'!$B$2:$B$941,A27,'Task4 Q1-8'!$H$2:$H$941)</f>
        <v>65141</v>
      </c>
      <c r="H27" s="8">
        <f>AVERAGEIF('Task4 Q1-8'!$B$2:$B$941,A27,'Task4 Q1-8'!$E$2:$E$941)</f>
        <v>20.620689655172413</v>
      </c>
      <c r="I27" s="8">
        <f>AVERAGEIF('Task4 Q1-8'!$B$2:$B$941,A27,'Task4 Q1-8'!$F$2:$F$941)</f>
        <v>14.03448275862069</v>
      </c>
      <c r="J27" s="18">
        <f>AVERAGEIF('Task4 Q1-8'!$B$2:$B$941,A27,'Task4 Q1-8'!$G$2:$G$941)</f>
        <v>181.24137931034483</v>
      </c>
    </row>
    <row r="28" spans="1:10" x14ac:dyDescent="0.25">
      <c r="A28" s="17">
        <v>42498</v>
      </c>
      <c r="B28" s="6">
        <f>COUNTIF('Task4 Q1-8'!$B$2:$B$941,A28)</f>
        <v>27</v>
      </c>
      <c r="C28" s="6" t="str">
        <f t="shared" si="0"/>
        <v>Active</v>
      </c>
      <c r="D28" s="8">
        <f>AVERAGEIF('Task4 Q1-8'!$B$2:$B$941,A28,'Task4 Q1-8'!$D$2:$D$941)</f>
        <v>5.1399999812797281</v>
      </c>
      <c r="E28" s="6" t="str">
        <f t="shared" si="1"/>
        <v>Intermediate</v>
      </c>
      <c r="F28" s="6">
        <f>SUMIF('Task4 Q1-8'!$B$2:$B$941,A28,'Task4 Q1-8'!$C$2:$C$941)</f>
        <v>190334</v>
      </c>
      <c r="G28" s="6">
        <f>SUMIF('Task4 Q1-8'!$B$2:$B$941,A28,'Task4 Q1-8'!$H$2:$H$941)</f>
        <v>62193</v>
      </c>
      <c r="H28" s="8">
        <f>AVERAGEIF('Task4 Q1-8'!$B$2:$B$941,A28,'Task4 Q1-8'!$E$2:$E$941)</f>
        <v>17.074074074074073</v>
      </c>
      <c r="I28" s="8">
        <f>AVERAGEIF('Task4 Q1-8'!$B$2:$B$941,A28,'Task4 Q1-8'!$F$2:$F$941)</f>
        <v>17.37037037037037</v>
      </c>
      <c r="J28" s="18">
        <f>AVERAGEIF('Task4 Q1-8'!$B$2:$B$941,A28,'Task4 Q1-8'!$G$2:$G$941)</f>
        <v>184.81481481481481</v>
      </c>
    </row>
    <row r="29" spans="1:10" x14ac:dyDescent="0.25">
      <c r="A29" s="17">
        <v>42499</v>
      </c>
      <c r="B29" s="6">
        <f>COUNTIF('Task4 Q1-8'!$B$2:$B$941,A29)</f>
        <v>27</v>
      </c>
      <c r="C29" s="6" t="str">
        <f t="shared" si="0"/>
        <v>Active</v>
      </c>
      <c r="D29" s="8">
        <f>AVERAGEIF('Task4 Q1-8'!$B$2:$B$941,A29,'Task4 Q1-8'!$D$2:$D$941)</f>
        <v>5.9629629585478066</v>
      </c>
      <c r="E29" s="6" t="str">
        <f t="shared" si="1"/>
        <v>Intermediate</v>
      </c>
      <c r="F29" s="6">
        <f>SUMIF('Task4 Q1-8'!$B$2:$B$941,A29,'Task4 Q1-8'!$C$2:$C$941)</f>
        <v>222718</v>
      </c>
      <c r="G29" s="6">
        <f>SUMIF('Task4 Q1-8'!$B$2:$B$941,A29,'Task4 Q1-8'!$H$2:$H$941)</f>
        <v>63063</v>
      </c>
      <c r="H29" s="8">
        <f>AVERAGEIF('Task4 Q1-8'!$B$2:$B$941,A29,'Task4 Q1-8'!$E$2:$E$941)</f>
        <v>22.851851851851851</v>
      </c>
      <c r="I29" s="8">
        <f>AVERAGEIF('Task4 Q1-8'!$B$2:$B$941,A29,'Task4 Q1-8'!$F$2:$F$941)</f>
        <v>15.481481481481481</v>
      </c>
      <c r="J29" s="18">
        <f>AVERAGEIF('Task4 Q1-8'!$B$2:$B$941,A29,'Task4 Q1-8'!$G$2:$G$941)</f>
        <v>201.18518518518519</v>
      </c>
    </row>
    <row r="30" spans="1:10" x14ac:dyDescent="0.25">
      <c r="A30" s="17">
        <v>42500</v>
      </c>
      <c r="B30" s="6">
        <f>COUNTIF('Task4 Q1-8'!$B$2:$B$941,A30)</f>
        <v>26</v>
      </c>
      <c r="C30" s="6" t="str">
        <f t="shared" si="0"/>
        <v>Active</v>
      </c>
      <c r="D30" s="8">
        <f>AVERAGEIF('Task4 Q1-8'!$B$2:$B$941,A30,'Task4 Q1-8'!$D$2:$D$941)</f>
        <v>5.6661537530330515</v>
      </c>
      <c r="E30" s="6" t="str">
        <f t="shared" si="1"/>
        <v>Intermediate</v>
      </c>
      <c r="F30" s="6">
        <f>SUMIF('Task4 Q1-8'!$B$2:$B$941,A30,'Task4 Q1-8'!$C$2:$C$941)</f>
        <v>206737</v>
      </c>
      <c r="G30" s="6">
        <f>SUMIF('Task4 Q1-8'!$B$2:$B$941,A30,'Task4 Q1-8'!$H$2:$H$941)</f>
        <v>57963</v>
      </c>
      <c r="H30" s="8">
        <f>AVERAGEIF('Task4 Q1-8'!$B$2:$B$941,A30,'Task4 Q1-8'!$E$2:$E$941)</f>
        <v>24.192307692307693</v>
      </c>
      <c r="I30" s="8">
        <f>AVERAGEIF('Task4 Q1-8'!$B$2:$B$941,A30,'Task4 Q1-8'!$F$2:$F$941)</f>
        <v>18.653846153846153</v>
      </c>
      <c r="J30" s="18">
        <f>AVERAGEIF('Task4 Q1-8'!$B$2:$B$941,A30,'Task4 Q1-8'!$G$2:$G$941)</f>
        <v>179.34615384615384</v>
      </c>
    </row>
    <row r="31" spans="1:10" x14ac:dyDescent="0.25">
      <c r="A31" s="17">
        <v>42501</v>
      </c>
      <c r="B31" s="6">
        <f>COUNTIF('Task4 Q1-8'!$B$2:$B$941,A31)</f>
        <v>24</v>
      </c>
      <c r="C31" s="6" t="str">
        <f t="shared" si="0"/>
        <v>Active</v>
      </c>
      <c r="D31" s="8">
        <f>AVERAGEIF('Task4 Q1-8'!$B$2:$B$941,A31,'Task4 Q1-8'!$D$2:$D$941)</f>
        <v>5.4945833086967468</v>
      </c>
      <c r="E31" s="6" t="str">
        <f t="shared" si="1"/>
        <v>Intermediate</v>
      </c>
      <c r="F31" s="6">
        <f>SUMIF('Task4 Q1-8'!$B$2:$B$941,A31,'Task4 Q1-8'!$C$2:$C$941)</f>
        <v>180468</v>
      </c>
      <c r="G31" s="6">
        <f>SUMIF('Task4 Q1-8'!$B$2:$B$941,A31,'Task4 Q1-8'!$H$2:$H$941)</f>
        <v>52562</v>
      </c>
      <c r="H31" s="8">
        <f>AVERAGEIF('Task4 Q1-8'!$B$2:$B$941,A31,'Task4 Q1-8'!$E$2:$E$941)</f>
        <v>21.25</v>
      </c>
      <c r="I31" s="8">
        <f>AVERAGEIF('Task4 Q1-8'!$B$2:$B$941,A31,'Task4 Q1-8'!$F$2:$F$941)</f>
        <v>14.5</v>
      </c>
      <c r="J31" s="18">
        <f>AVERAGEIF('Task4 Q1-8'!$B$2:$B$941,A31,'Task4 Q1-8'!$G$2:$G$941)</f>
        <v>184.54166666666666</v>
      </c>
    </row>
    <row r="32" spans="1:10" x14ac:dyDescent="0.25">
      <c r="A32" s="17">
        <v>42502</v>
      </c>
      <c r="B32" s="6">
        <f>COUNTIF('Task4 Q1-8'!$B$2:$B$941,A32)</f>
        <v>21</v>
      </c>
      <c r="C32" s="6" t="str">
        <f t="shared" si="0"/>
        <v>Active</v>
      </c>
      <c r="D32" s="8">
        <f>AVERAGEIF('Task4 Q1-8'!$B$2:$B$941,A32,'Task4 Q1-8'!$D$2:$D$941)</f>
        <v>2.4433333211179296</v>
      </c>
      <c r="E32" s="6" t="str">
        <f t="shared" si="1"/>
        <v>Beginner</v>
      </c>
      <c r="F32" s="6">
        <f>SUMIF('Task4 Q1-8'!$B$2:$B$941,A32,'Task4 Q1-8'!$C$2:$C$941)</f>
        <v>73129</v>
      </c>
      <c r="G32" s="6">
        <f>SUMIF('Task4 Q1-8'!$B$2:$B$941,A32,'Task4 Q1-8'!$H$2:$H$941)</f>
        <v>23925</v>
      </c>
      <c r="H32" s="8">
        <f>AVERAGEIF('Task4 Q1-8'!$B$2:$B$941,A32,'Task4 Q1-8'!$E$2:$E$941)</f>
        <v>4.1904761904761907</v>
      </c>
      <c r="I32" s="8">
        <f>AVERAGEIF('Task4 Q1-8'!$B$2:$B$941,A32,'Task4 Q1-8'!$F$2:$F$941)</f>
        <v>2.1428571428571428</v>
      </c>
      <c r="J32" s="18">
        <f>AVERAGEIF('Task4 Q1-8'!$B$2:$B$941,A32,'Task4 Q1-8'!$G$2:$G$941)</f>
        <v>98.80952380952381</v>
      </c>
    </row>
    <row r="33" spans="1:10" ht="15.75" thickBot="1" x14ac:dyDescent="0.3">
      <c r="A33" s="19">
        <v>42472</v>
      </c>
      <c r="B33" s="20">
        <f>COUNTIF('Task4 Q1-8'!$B$2:$B$941,A33)</f>
        <v>33</v>
      </c>
      <c r="C33" s="20" t="str">
        <f t="shared" si="0"/>
        <v>Active</v>
      </c>
      <c r="D33" s="21">
        <f>AVERAGEIF('Task4 Q1-8'!$B$2:$B$941,A33,'Task4 Q1-8'!$D$2:$D$941)</f>
        <v>5.9827272485602991</v>
      </c>
      <c r="E33" s="20" t="str">
        <f t="shared" si="1"/>
        <v>Intermediate</v>
      </c>
      <c r="F33" s="20">
        <f>SUMIF('Task4 Q1-8'!$B$2:$B$941,A33,'Task4 Q1-8'!$C$2:$C$941)</f>
        <v>271816</v>
      </c>
      <c r="G33" s="20">
        <f>SUMIF('Task4 Q1-8'!$B$2:$B$941,A33,'Task4 Q1-8'!$H$2:$H$941)</f>
        <v>78893</v>
      </c>
      <c r="H33" s="21">
        <f>AVERAGEIF('Task4 Q1-8'!$B$2:$B$941,A33,'Task4 Q1-8'!$E$2:$E$941)</f>
        <v>22.303030303030305</v>
      </c>
      <c r="I33" s="21">
        <f>AVERAGEIF('Task4 Q1-8'!$B$2:$B$941,A33,'Task4 Q1-8'!$F$2:$F$941)</f>
        <v>7.8484848484848486</v>
      </c>
      <c r="J33" s="22">
        <f>AVERAGEIF('Task4 Q1-8'!$B$2:$B$941,A33,'Task4 Q1-8'!$G$2:$G$941)</f>
        <v>199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5"/>
  <sheetViews>
    <sheetView workbookViewId="0">
      <selection activeCell="M2" sqref="M2"/>
    </sheetView>
  </sheetViews>
  <sheetFormatPr defaultRowHeight="15" x14ac:dyDescent="0.25"/>
  <cols>
    <col min="5" max="13" width="11" customWidth="1"/>
    <col min="14" max="16" width="12" customWidth="1"/>
  </cols>
  <sheetData>
    <row r="1" spans="1:18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x14ac:dyDescent="0.25">
      <c r="A2" s="23"/>
      <c r="B2" s="23"/>
      <c r="C2" s="23"/>
      <c r="D2" s="23"/>
      <c r="E2" s="23"/>
      <c r="F2" s="23"/>
      <c r="G2" s="23"/>
      <c r="H2" s="27" t="s">
        <v>21</v>
      </c>
      <c r="I2" s="28"/>
      <c r="J2" s="28"/>
      <c r="K2" s="28"/>
      <c r="L2" s="23"/>
      <c r="M2" s="23"/>
      <c r="N2" s="23"/>
      <c r="O2" s="23"/>
      <c r="P2" s="23"/>
      <c r="Q2" s="23"/>
      <c r="R2" s="23"/>
    </row>
    <row r="3" spans="1:18" x14ac:dyDescent="0.25">
      <c r="A3" s="23"/>
      <c r="B3" s="23"/>
      <c r="C3" s="23"/>
      <c r="D3" s="23"/>
      <c r="E3" s="23"/>
      <c r="F3" s="23"/>
      <c r="G3" s="23"/>
      <c r="H3" s="28"/>
      <c r="I3" s="28"/>
      <c r="J3" s="28"/>
      <c r="K3" s="28"/>
      <c r="L3" s="23"/>
      <c r="M3" s="23"/>
      <c r="N3" s="23"/>
      <c r="O3" s="23"/>
      <c r="P3" s="23"/>
      <c r="Q3" s="23"/>
      <c r="R3" s="23"/>
    </row>
    <row r="4" spans="1:18" ht="15" customHeight="1" x14ac:dyDescent="0.25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</row>
    <row r="6" spans="1:18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</row>
    <row r="7" spans="1:18" x14ac:dyDescent="0.25">
      <c r="A7" s="23"/>
      <c r="B7" s="23"/>
      <c r="C7" s="23"/>
      <c r="D7" s="23"/>
      <c r="E7" s="23"/>
      <c r="F7" s="23"/>
      <c r="G7" s="23"/>
      <c r="H7" s="24"/>
      <c r="I7" s="23"/>
      <c r="J7" s="23"/>
      <c r="K7" s="23"/>
      <c r="L7" s="23"/>
      <c r="M7" s="23"/>
      <c r="N7" s="23"/>
      <c r="O7" s="23"/>
      <c r="P7" s="23"/>
      <c r="Q7" s="23"/>
      <c r="R7" s="23"/>
    </row>
    <row r="8" spans="1:18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</row>
    <row r="9" spans="1:18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</row>
    <row r="10" spans="1:18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</row>
    <row r="11" spans="1:18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</row>
    <row r="12" spans="1:18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</row>
    <row r="13" spans="1:18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</row>
    <row r="14" spans="1:18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pans="1:18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spans="1:18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spans="1:18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spans="1:18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spans="1:18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spans="1:18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</row>
    <row r="23" spans="1:18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</row>
    <row r="24" spans="1:18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</row>
    <row r="25" spans="1:18" x14ac:dyDescent="0.2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</row>
    <row r="26" spans="1:18" x14ac:dyDescent="0.25">
      <c r="A26" s="23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3"/>
      <c r="R26" s="23"/>
    </row>
    <row r="27" spans="1:18" x14ac:dyDescent="0.25">
      <c r="A27" s="23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</row>
    <row r="28" spans="1:18" x14ac:dyDescent="0.25">
      <c r="A28" s="23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3"/>
      <c r="R28" s="23"/>
    </row>
    <row r="29" spans="1:18" x14ac:dyDescent="0.25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</row>
    <row r="30" spans="1:18" x14ac:dyDescent="0.25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</row>
    <row r="31" spans="1:18" x14ac:dyDescent="0.25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</row>
    <row r="32" spans="1:18" x14ac:dyDescent="0.25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</row>
    <row r="33" spans="1:18" x14ac:dyDescent="0.25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</row>
    <row r="34" spans="1:18" x14ac:dyDescent="0.25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</row>
    <row r="35" spans="1:18" x14ac:dyDescent="0.2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</row>
    <row r="36" spans="1:18" x14ac:dyDescent="0.25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</row>
    <row r="37" spans="1:18" x14ac:dyDescent="0.25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</row>
    <row r="38" spans="1:18" x14ac:dyDescent="0.25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</row>
    <row r="39" spans="1:18" x14ac:dyDescent="0.25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</row>
    <row r="40" spans="1:18" x14ac:dyDescent="0.25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</row>
    <row r="41" spans="1:18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</row>
    <row r="42" spans="1:18" x14ac:dyDescent="0.25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</row>
    <row r="43" spans="1:18" x14ac:dyDescent="0.25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</row>
    <row r="44" spans="1:18" x14ac:dyDescent="0.25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</row>
    <row r="45" spans="1:18" x14ac:dyDescent="0.2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</row>
    <row r="46" spans="1:18" x14ac:dyDescent="0.25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</row>
    <row r="47" spans="1:18" x14ac:dyDescent="0.25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</row>
    <row r="48" spans="1:18" x14ac:dyDescent="0.25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</row>
    <row r="49" spans="1:18" x14ac:dyDescent="0.25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</row>
    <row r="50" spans="1:18" x14ac:dyDescent="0.25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</row>
    <row r="51" spans="1:18" x14ac:dyDescent="0.25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</row>
    <row r="52" spans="1:18" x14ac:dyDescent="0.25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</row>
    <row r="53" spans="1:18" x14ac:dyDescent="0.25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</row>
    <row r="54" spans="1:18" x14ac:dyDescent="0.25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</row>
    <row r="55" spans="1:18" x14ac:dyDescent="0.2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</row>
  </sheetData>
  <mergeCells count="1">
    <mergeCell ref="H2:K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Task4 Q1-8</vt:lpstr>
      <vt:lpstr>Task4 Q9</vt:lpstr>
      <vt:lpstr>Dashboard</vt:lpstr>
      <vt:lpstr>'Task4 Q1-8'!Extract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Kuber Gandhi</dc:creator>
  <cp:lastModifiedBy>Kuber Gandhi</cp:lastModifiedBy>
  <dcterms:created xsi:type="dcterms:W3CDTF">2024-05-18T06:22:03Z</dcterms:created>
  <dcterms:modified xsi:type="dcterms:W3CDTF">2024-05-18T12:06:20Z</dcterms:modified>
</cp:coreProperties>
</file>