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ber\OneDrive\Desktop\ShivamGandhiExcelProjectFinal\"/>
    </mc:Choice>
  </mc:AlternateContent>
  <xr:revisionPtr revIDLastSave="1" documentId="8_{80A0683B-1017-4C64-8924-D502B25CD713}" xr6:coauthVersionLast="36" xr6:coauthVersionMax="36" xr10:uidLastSave="{82DCB498-AEFC-4265-BE6D-4B46681F0D63}"/>
  <bookViews>
    <workbookView xWindow="0" yWindow="0" windowWidth="20490" windowHeight="7545" xr2:uid="{00000000-000D-0000-FFFF-FFFF00000000}"/>
  </bookViews>
  <sheets>
    <sheet name="Task3" sheetId="1" r:id="rId1"/>
    <sheet name="Analysis" sheetId="2" r:id="rId2"/>
  </sheets>
  <definedNames>
    <definedName name="_xlnm._FilterDatabase" localSheetId="0" hidden="1">Task3!$A$2:$A$414</definedName>
    <definedName name="_xlnm.Extract" localSheetId="0">Task3!$D$2</definedName>
  </definedNames>
  <calcPr calcId="191029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E7" i="1" l="1"/>
  <c r="F7" i="1" s="1"/>
  <c r="G7" i="1" s="1"/>
  <c r="E12" i="1"/>
  <c r="F12" i="1" s="1"/>
  <c r="G12" i="1" s="1"/>
  <c r="E13" i="1"/>
  <c r="F13" i="1" s="1"/>
  <c r="G13" i="1" s="1"/>
  <c r="E17" i="1"/>
  <c r="F17" i="1" s="1"/>
  <c r="G17" i="1" s="1"/>
  <c r="E19" i="1"/>
  <c r="F19" i="1" s="1"/>
  <c r="G19" i="1" s="1"/>
  <c r="E21" i="1"/>
  <c r="F21" i="1" s="1"/>
  <c r="G21" i="1" s="1"/>
  <c r="E22" i="1"/>
  <c r="F22" i="1" s="1"/>
  <c r="G22" i="1" s="1"/>
  <c r="E23" i="1"/>
  <c r="F23" i="1" s="1"/>
  <c r="G23" i="1" s="1"/>
  <c r="E24" i="1" l="1"/>
  <c r="F24" i="1" s="1"/>
  <c r="G24" i="1" s="1"/>
  <c r="E8" i="1"/>
  <c r="F8" i="1" s="1"/>
  <c r="G8" i="1" s="1"/>
  <c r="E14" i="1"/>
  <c r="F14" i="1" s="1"/>
  <c r="G14" i="1" s="1"/>
  <c r="E25" i="1"/>
  <c r="F25" i="1" s="1"/>
  <c r="G25" i="1" s="1"/>
  <c r="E20" i="1"/>
  <c r="F20" i="1" s="1"/>
  <c r="G20" i="1" s="1"/>
  <c r="E18" i="1"/>
  <c r="F18" i="1" s="1"/>
  <c r="G18" i="1" s="1"/>
  <c r="E11" i="1"/>
  <c r="F11" i="1" s="1"/>
  <c r="G11" i="1" s="1"/>
  <c r="E9" i="1"/>
  <c r="F9" i="1" s="1"/>
  <c r="G9" i="1" s="1"/>
  <c r="E6" i="1"/>
  <c r="F6" i="1" s="1"/>
  <c r="G6" i="1" s="1"/>
  <c r="E4" i="1"/>
  <c r="F4" i="1" s="1"/>
  <c r="G4" i="1" s="1"/>
  <c r="E3" i="1"/>
  <c r="F3" i="1" s="1"/>
  <c r="G3" i="1" s="1"/>
  <c r="E10" i="1"/>
  <c r="F10" i="1" s="1"/>
  <c r="G10" i="1" s="1"/>
  <c r="E16" i="1"/>
  <c r="F16" i="1" s="1"/>
  <c r="G16" i="1" s="1"/>
  <c r="E15" i="1"/>
  <c r="F15" i="1" s="1"/>
  <c r="G15" i="1" s="1"/>
  <c r="E5" i="1"/>
  <c r="F5" i="1" s="1"/>
  <c r="G5" i="1" s="1"/>
  <c r="E2" i="1"/>
  <c r="F2" i="1" s="1"/>
  <c r="G2" i="1" s="1"/>
</calcChain>
</file>

<file path=xl/sharedStrings.xml><?xml version="1.0" encoding="utf-8"?>
<sst xmlns="http://schemas.openxmlformats.org/spreadsheetml/2006/main" count="24" uniqueCount="18">
  <si>
    <t>Id</t>
  </si>
  <si>
    <t>TotalMinutesAsleep</t>
  </si>
  <si>
    <t>TotalHoursAsleep</t>
  </si>
  <si>
    <t>Unique Ids</t>
  </si>
  <si>
    <t>AverageHoursAsleep</t>
  </si>
  <si>
    <t>Sleep Condition</t>
  </si>
  <si>
    <t>Row Labels</t>
  </si>
  <si>
    <t>Good Sleep Schedule</t>
  </si>
  <si>
    <t>Sleep Deprived</t>
  </si>
  <si>
    <t>Underlying Problem</t>
  </si>
  <si>
    <t>Grand Total</t>
  </si>
  <si>
    <t>Potential Customer</t>
  </si>
  <si>
    <t>Not</t>
  </si>
  <si>
    <t>Count of Unique Ids</t>
  </si>
  <si>
    <t>Criteria</t>
  </si>
  <si>
    <t>I have considered IDs with Sleep Hours between 7-8 hours as Good</t>
  </si>
  <si>
    <t xml:space="preserve">below that as Sleep Deprived </t>
  </si>
  <si>
    <t>and above that as Underlying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</si>
</sst>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5" fontId="0" fillId="0" borderId="0" xfId="0" applyNumberFormat="1"/>
    <xf numFmtId="1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6" fillId="34" borderId="0" xfId="0" applyFont="1" applyFill="1"/>
    <xf numFmtId="0" fontId="16" fillId="34" borderId="0" xfId="0" applyFont="1" applyFill="1" applyAlignment="1">
      <alignment horizontal="left"/>
    </xf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[Task3a.xlsx]Analysis!PivotTable1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Sleep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Analysis!$A$4:$A$7</c:f>
              <c:strCache>
                <c:ptCount val="3"/>
                <c:pt idx="0">
                  <c:v>Good Sleep Schedule</c:v>
                </c:pt>
                <c:pt idx="1">
                  <c:v>Sleep Deprived</c:v>
                </c:pt>
                <c:pt idx="2">
                  <c:v>Underlying Problem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E-4DE3-8D2E-4A634AA7D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9588847"/>
        <c:axId val="488015935"/>
      </c:barChart>
      <c:catAx>
        <c:axId val="17195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15935"/>
        <c:crosses val="autoZero"/>
        <c:auto val="1"/>
        <c:lblAlgn val="ctr"/>
        <c:lblOffset val="100"/>
        <c:noMultiLvlLbl val="0"/>
      </c:catAx>
      <c:valAx>
        <c:axId val="4880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58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[Task3a.xlsx]Analysis!PivotTable2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Potential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42-4EFA-8F56-00A605869D6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42-4EFA-8F56-00A605869D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Analysis!$A$10:$A$12</c:f>
              <c:strCache>
                <c:ptCount val="2"/>
                <c:pt idx="0">
                  <c:v>Not</c:v>
                </c:pt>
                <c:pt idx="1">
                  <c:v>Potential Customer</c:v>
                </c:pt>
              </c:strCache>
            </c:strRef>
          </c:cat>
          <c:val>
            <c:numRef>
              <c:f>Analysis!$B$10:$B$12</c:f>
              <c:numCache>
                <c:formatCode>General</c:formatCode>
                <c:ptCount val="2"/>
                <c:pt idx="0">
                  <c:v>10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9-4E5E-B7AA-A614B4A34B9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357187</xdr:colOff>
      <xdr:row>0</xdr:row>
      <xdr:rowOff>119062</xdr:rowOff>
    </xdr:from>
    <xdr:to>
      <xdr:col>10</xdr:col>
      <xdr:colOff>52387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E713A-4608-4BE3-B95E-712199189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404812</xdr:colOff>
      <xdr:row>0</xdr:row>
      <xdr:rowOff>185737</xdr:rowOff>
    </xdr:from>
    <xdr:to>
      <xdr:col>18</xdr:col>
      <xdr:colOff>100012</xdr:colOff>
      <xdr:row>15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80D631-2491-45A5-A9D5-40037544B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er Gandhi" refreshedDate="45430.474817939816" createdVersion="6" refreshedVersion="6" minRefreshableVersion="3" recordCount="413" xr:uid="{00000000-000A-0000-FFFF-FFFF03000000}">
  <cacheSource type="worksheet">
    <worksheetSource ref="A1:F414" sheet="Task3"/>
  </cacheSource>
  <cacheFields count="7">
    <cacheField name="Id" numFmtId="0">
      <sharedItems containsSemiMixedTypes="0" containsString="0" containsNumber="1" containsInteger="1" minValue="1503960366" maxValue="8792009665"/>
    </cacheField>
    <cacheField name="SleepDay" numFmtId="164">
      <sharedItems containsSemiMixedTypes="0" containsNonDate="0" containsDate="1" containsString="0" minDate="2016-04-12T00:00:00" maxDate="2016-05-13T00:00:00"/>
    </cacheField>
    <cacheField name="TotalMinutesAsleep" numFmtId="0">
      <sharedItems containsSemiMixedTypes="0" containsString="0" containsNumber="1" containsInteger="1" minValue="58" maxValue="796"/>
    </cacheField>
    <cacheField name="TotalHoursAsleep" numFmtId="165">
      <sharedItems containsSemiMixedTypes="0" containsString="0" containsNumber="1" minValue="0.96666666666666667" maxValue="13.266666666666667"/>
    </cacheField>
    <cacheField name="Unique Ids" numFmtId="0">
      <sharedItems containsString="0" containsBlank="1" containsNumber="1" containsInteger="1" minValue="1503960366" maxValue="8792009665"/>
    </cacheField>
    <cacheField name="AverageHoursAsleep" numFmtId="0">
      <sharedItems containsString="0" containsBlank="1" containsNumber="1" minValue="1.0166666666666666" maxValue="10.866666666666667"/>
    </cacheField>
    <cacheField name="Sleep Condition" numFmtId="0">
      <sharedItems containsBlank="1" count="4">
        <s v="Sleep Deprived"/>
        <s v="Underlying Problem"/>
        <s v="Good Sleep Schedu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er Gandhi" refreshedDate="45430.479268055555" createdVersion="6" refreshedVersion="6" minRefreshableVersion="3" recordCount="413" xr:uid="{00000000-000A-0000-FFFF-FFFF07000000}">
  <cacheSource type="worksheet">
    <worksheetSource ref="A1:G414" sheet="Task3"/>
  </cacheSource>
  <cacheFields count="8">
    <cacheField name="Id" numFmtId="0">
      <sharedItems containsSemiMixedTypes="0" containsString="0" containsNumber="1" containsInteger="1" minValue="1503960366" maxValue="8792009665"/>
    </cacheField>
    <cacheField name="SleepDay" numFmtId="164">
      <sharedItems containsSemiMixedTypes="0" containsNonDate="0" containsDate="1" containsString="0" minDate="2016-04-12T00:00:00" maxDate="2016-05-13T00:00:00"/>
    </cacheField>
    <cacheField name="TotalMinutesAsleep" numFmtId="0">
      <sharedItems containsSemiMixedTypes="0" containsString="0" containsNumber="1" containsInteger="1" minValue="58" maxValue="796"/>
    </cacheField>
    <cacheField name="TotalHoursAsleep" numFmtId="165">
      <sharedItems containsSemiMixedTypes="0" containsString="0" containsNumber="1" minValue="0.96666666666666667" maxValue="13.266666666666667"/>
    </cacheField>
    <cacheField name="Unique Ids" numFmtId="0">
      <sharedItems containsString="0" containsBlank="1" containsNumber="1" containsInteger="1" minValue="1503960366" maxValue="8792009665"/>
    </cacheField>
    <cacheField name="AverageHoursAsleep" numFmtId="0">
      <sharedItems containsString="0" containsBlank="1" containsNumber="1" minValue="1.0166666666666666" maxValue="10.866666666666667"/>
    </cacheField>
    <cacheField name="Sleep Condition" numFmtId="0">
      <sharedItems containsBlank="1" count="4">
        <s v="Sleep Deprived"/>
        <s v="Underlying Problem"/>
        <s v="Good Sleep Schedule"/>
        <m/>
      </sharedItems>
    </cacheField>
    <cacheField name="Potential Customer" numFmtId="0">
      <sharedItems count="2">
        <s v="Potential Customer"/>
        <s v="N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3">
  <r>
    <n v="1503960366"/>
    <d v="2016-04-12T00:00:00"/>
    <n v="327"/>
    <n v="5.45"/>
    <n v="1503960366"/>
    <n v="6.0046666666666644"/>
    <x v="0"/>
  </r>
  <r>
    <n v="1503960366"/>
    <d v="2016-04-13T00:00:00"/>
    <n v="384"/>
    <n v="6.4"/>
    <n v="1644430081"/>
    <n v="4.9000000000000004"/>
    <x v="0"/>
  </r>
  <r>
    <n v="1503960366"/>
    <d v="2016-04-15T00:00:00"/>
    <n v="412"/>
    <n v="6.8666666666666663"/>
    <n v="1844505072"/>
    <n v="10.866666666666667"/>
    <x v="1"/>
  </r>
  <r>
    <n v="1503960366"/>
    <d v="2016-04-16T00:00:00"/>
    <n v="340"/>
    <n v="5.666666666666667"/>
    <n v="1927972279"/>
    <n v="6.95"/>
    <x v="0"/>
  </r>
  <r>
    <n v="1503960366"/>
    <d v="2016-04-17T00:00:00"/>
    <n v="700"/>
    <n v="11.666666666666666"/>
    <n v="2026352035"/>
    <n v="8.4363095238095251"/>
    <x v="1"/>
  </r>
  <r>
    <n v="1503960366"/>
    <d v="2016-04-19T00:00:00"/>
    <n v="304"/>
    <n v="5.0666666666666664"/>
    <n v="2320127002"/>
    <n v="1.0166666666666666"/>
    <x v="0"/>
  </r>
  <r>
    <n v="1503960366"/>
    <d v="2016-04-20T00:00:00"/>
    <n v="360"/>
    <n v="6"/>
    <n v="2347167796"/>
    <n v="7.4466666666666663"/>
    <x v="2"/>
  </r>
  <r>
    <n v="1503960366"/>
    <d v="2016-04-21T00:00:00"/>
    <n v="325"/>
    <n v="5.416666666666667"/>
    <n v="3977333714"/>
    <n v="4.8940476190476181"/>
    <x v="0"/>
  </r>
  <r>
    <n v="1503960366"/>
    <d v="2016-04-23T00:00:00"/>
    <n v="361"/>
    <n v="6.0166666666666666"/>
    <n v="4020332650"/>
    <n v="5.822916666666667"/>
    <x v="0"/>
  </r>
  <r>
    <n v="1503960366"/>
    <d v="2016-04-24T00:00:00"/>
    <n v="430"/>
    <n v="7.166666666666667"/>
    <n v="4319703577"/>
    <n v="7.9442307692307699"/>
    <x v="2"/>
  </r>
  <r>
    <n v="1503960366"/>
    <d v="2016-04-25T00:00:00"/>
    <n v="277"/>
    <n v="4.6166666666666663"/>
    <n v="4388161847"/>
    <n v="6.71875"/>
    <x v="0"/>
  </r>
  <r>
    <n v="1503960366"/>
    <d v="2016-04-26T00:00:00"/>
    <n v="245"/>
    <n v="4.083333333333333"/>
    <n v="4445114986"/>
    <n v="6.4196428571428568"/>
    <x v="0"/>
  </r>
  <r>
    <n v="1503960366"/>
    <d v="2016-04-28T00:00:00"/>
    <n v="366"/>
    <n v="6.1"/>
    <n v="4558609924"/>
    <n v="2.1266666666666665"/>
    <x v="0"/>
  </r>
  <r>
    <n v="1503960366"/>
    <d v="2016-04-29T00:00:00"/>
    <n v="341"/>
    <n v="5.6833333333333336"/>
    <n v="4702921684"/>
    <n v="7.0190476190476181"/>
    <x v="2"/>
  </r>
  <r>
    <n v="1503960366"/>
    <d v="2016-04-30T00:00:00"/>
    <n v="404"/>
    <n v="6.7333333333333334"/>
    <n v="5553957443"/>
    <n v="7.7247311827956988"/>
    <x v="2"/>
  </r>
  <r>
    <n v="1503960366"/>
    <d v="2016-05-01T00:00:00"/>
    <n v="369"/>
    <n v="6.15"/>
    <n v="5577150313"/>
    <n v="7.2000000000000011"/>
    <x v="2"/>
  </r>
  <r>
    <n v="1503960366"/>
    <d v="2016-05-02T00:00:00"/>
    <n v="277"/>
    <n v="4.6166666666666663"/>
    <n v="6117666160"/>
    <n v="7.9796296296296294"/>
    <x v="2"/>
  </r>
  <r>
    <n v="1503960366"/>
    <d v="2016-05-03T00:00:00"/>
    <n v="273"/>
    <n v="4.55"/>
    <n v="6775888955"/>
    <n v="5.8277777777777784"/>
    <x v="0"/>
  </r>
  <r>
    <n v="1503960366"/>
    <d v="2016-05-05T00:00:00"/>
    <n v="247"/>
    <n v="4.1166666666666663"/>
    <n v="6962181067"/>
    <n v="7.4666666666666668"/>
    <x v="2"/>
  </r>
  <r>
    <n v="1503960366"/>
    <d v="2016-05-06T00:00:00"/>
    <n v="334"/>
    <n v="5.5666666666666664"/>
    <n v="7007744171"/>
    <n v="1.1416666666666666"/>
    <x v="0"/>
  </r>
  <r>
    <n v="1503960366"/>
    <d v="2016-05-07T00:00:00"/>
    <n v="331"/>
    <n v="5.5166666666666666"/>
    <n v="7086361926"/>
    <n v="7.5520833333333357"/>
    <x v="2"/>
  </r>
  <r>
    <n v="1503960366"/>
    <d v="2016-05-08T00:00:00"/>
    <n v="594"/>
    <n v="9.9"/>
    <n v="8053475328"/>
    <n v="4.95"/>
    <x v="0"/>
  </r>
  <r>
    <n v="1503960366"/>
    <d v="2016-05-09T00:00:00"/>
    <n v="338"/>
    <n v="5.6333333333333337"/>
    <n v="8378563200"/>
    <n v="7.3890624999999996"/>
    <x v="2"/>
  </r>
  <r>
    <n v="1503960366"/>
    <d v="2016-05-10T00:00:00"/>
    <n v="383"/>
    <n v="6.3833333333333337"/>
    <n v="8792009665"/>
    <n v="7.2611111111111111"/>
    <x v="2"/>
  </r>
  <r>
    <n v="1503960366"/>
    <d v="2016-05-11T00:00:00"/>
    <n v="285"/>
    <n v="4.75"/>
    <m/>
    <m/>
    <x v="3"/>
  </r>
  <r>
    <n v="1644430081"/>
    <d v="2016-04-29T00:00:00"/>
    <n v="119"/>
    <n v="1.9833333333333334"/>
    <m/>
    <m/>
    <x v="3"/>
  </r>
  <r>
    <n v="1644430081"/>
    <d v="2016-04-30T00:00:00"/>
    <n v="124"/>
    <n v="2.0666666666666669"/>
    <m/>
    <m/>
    <x v="3"/>
  </r>
  <r>
    <n v="1644430081"/>
    <d v="2016-05-02T00:00:00"/>
    <n v="796"/>
    <n v="13.266666666666667"/>
    <m/>
    <m/>
    <x v="3"/>
  </r>
  <r>
    <n v="1644430081"/>
    <d v="2016-05-08T00:00:00"/>
    <n v="137"/>
    <n v="2.2833333333333332"/>
    <m/>
    <m/>
    <x v="3"/>
  </r>
  <r>
    <n v="1844505072"/>
    <d v="2016-04-15T00:00:00"/>
    <n v="644"/>
    <n v="10.733333333333333"/>
    <m/>
    <m/>
    <x v="3"/>
  </r>
  <r>
    <n v="1844505072"/>
    <d v="2016-04-30T00:00:00"/>
    <n v="722"/>
    <n v="12.033333333333333"/>
    <m/>
    <m/>
    <x v="3"/>
  </r>
  <r>
    <n v="1844505072"/>
    <d v="2016-05-01T00:00:00"/>
    <n v="590"/>
    <n v="9.8333333333333339"/>
    <m/>
    <m/>
    <x v="3"/>
  </r>
  <r>
    <n v="1927972279"/>
    <d v="2016-04-12T00:00:00"/>
    <n v="750"/>
    <n v="12.5"/>
    <m/>
    <m/>
    <x v="3"/>
  </r>
  <r>
    <n v="1927972279"/>
    <d v="2016-04-13T00:00:00"/>
    <n v="398"/>
    <n v="6.6333333333333337"/>
    <m/>
    <m/>
    <x v="3"/>
  </r>
  <r>
    <n v="1927972279"/>
    <d v="2016-04-15T00:00:00"/>
    <n v="475"/>
    <n v="7.916666666666667"/>
    <m/>
    <m/>
    <x v="3"/>
  </r>
  <r>
    <n v="1927972279"/>
    <d v="2016-04-26T00:00:00"/>
    <n v="296"/>
    <n v="4.9333333333333336"/>
    <m/>
    <m/>
    <x v="3"/>
  </r>
  <r>
    <n v="1927972279"/>
    <d v="2016-04-28T00:00:00"/>
    <n v="166"/>
    <n v="2.7666666666666666"/>
    <m/>
    <m/>
    <x v="3"/>
  </r>
  <r>
    <n v="2026352035"/>
    <d v="2016-04-12T00:00:00"/>
    <n v="503"/>
    <n v="8.3833333333333329"/>
    <m/>
    <m/>
    <x v="3"/>
  </r>
  <r>
    <n v="2026352035"/>
    <d v="2016-04-13T00:00:00"/>
    <n v="531"/>
    <n v="8.85"/>
    <m/>
    <m/>
    <x v="3"/>
  </r>
  <r>
    <n v="2026352035"/>
    <d v="2016-04-14T00:00:00"/>
    <n v="545"/>
    <n v="9.0833333333333339"/>
    <m/>
    <m/>
    <x v="3"/>
  </r>
  <r>
    <n v="2026352035"/>
    <d v="2016-04-15T00:00:00"/>
    <n v="523"/>
    <n v="8.7166666666666668"/>
    <m/>
    <m/>
    <x v="3"/>
  </r>
  <r>
    <n v="2026352035"/>
    <d v="2016-04-16T00:00:00"/>
    <n v="524"/>
    <n v="8.7333333333333325"/>
    <m/>
    <m/>
    <x v="3"/>
  </r>
  <r>
    <n v="2026352035"/>
    <d v="2016-04-17T00:00:00"/>
    <n v="437"/>
    <n v="7.2833333333333332"/>
    <m/>
    <m/>
    <x v="3"/>
  </r>
  <r>
    <n v="2026352035"/>
    <d v="2016-04-19T00:00:00"/>
    <n v="498"/>
    <n v="8.3000000000000007"/>
    <m/>
    <m/>
    <x v="3"/>
  </r>
  <r>
    <n v="2026352035"/>
    <d v="2016-04-20T00:00:00"/>
    <n v="461"/>
    <n v="7.6833333333333336"/>
    <m/>
    <m/>
    <x v="3"/>
  </r>
  <r>
    <n v="2026352035"/>
    <d v="2016-04-21T00:00:00"/>
    <n v="477"/>
    <n v="7.95"/>
    <m/>
    <m/>
    <x v="3"/>
  </r>
  <r>
    <n v="2026352035"/>
    <d v="2016-04-22T00:00:00"/>
    <n v="520"/>
    <n v="8.6666666666666661"/>
    <m/>
    <m/>
    <x v="3"/>
  </r>
  <r>
    <n v="2026352035"/>
    <d v="2016-04-23T00:00:00"/>
    <n v="522"/>
    <n v="8.6999999999999993"/>
    <m/>
    <m/>
    <x v="3"/>
  </r>
  <r>
    <n v="2026352035"/>
    <d v="2016-04-24T00:00:00"/>
    <n v="555"/>
    <n v="9.25"/>
    <m/>
    <m/>
    <x v="3"/>
  </r>
  <r>
    <n v="2026352035"/>
    <d v="2016-04-25T00:00:00"/>
    <n v="506"/>
    <n v="8.4333333333333336"/>
    <m/>
    <m/>
    <x v="3"/>
  </r>
  <r>
    <n v="2026352035"/>
    <d v="2016-04-27T00:00:00"/>
    <n v="508"/>
    <n v="8.4666666666666668"/>
    <m/>
    <m/>
    <x v="3"/>
  </r>
  <r>
    <n v="2026352035"/>
    <d v="2016-04-28T00:00:00"/>
    <n v="513"/>
    <n v="8.5500000000000007"/>
    <m/>
    <m/>
    <x v="3"/>
  </r>
  <r>
    <n v="2026352035"/>
    <d v="2016-04-29T00:00:00"/>
    <n v="490"/>
    <n v="8.1666666666666661"/>
    <m/>
    <m/>
    <x v="3"/>
  </r>
  <r>
    <n v="2026352035"/>
    <d v="2016-04-30T00:00:00"/>
    <n v="573"/>
    <n v="9.5500000000000007"/>
    <m/>
    <m/>
    <x v="3"/>
  </r>
  <r>
    <n v="2026352035"/>
    <d v="2016-05-01T00:00:00"/>
    <n v="527"/>
    <n v="8.7833333333333332"/>
    <m/>
    <m/>
    <x v="3"/>
  </r>
  <r>
    <n v="2026352035"/>
    <d v="2016-05-02T00:00:00"/>
    <n v="511"/>
    <n v="8.5166666666666675"/>
    <m/>
    <m/>
    <x v="3"/>
  </r>
  <r>
    <n v="2026352035"/>
    <d v="2016-05-04T00:00:00"/>
    <n v="538"/>
    <n v="8.9666666666666668"/>
    <m/>
    <m/>
    <x v="3"/>
  </r>
  <r>
    <n v="2026352035"/>
    <d v="2016-05-05T00:00:00"/>
    <n v="468"/>
    <n v="7.8"/>
    <m/>
    <m/>
    <x v="3"/>
  </r>
  <r>
    <n v="2026352035"/>
    <d v="2016-05-06T00:00:00"/>
    <n v="524"/>
    <n v="8.7333333333333325"/>
    <m/>
    <m/>
    <x v="3"/>
  </r>
  <r>
    <n v="2026352035"/>
    <d v="2016-05-07T00:00:00"/>
    <n v="511"/>
    <n v="8.5166666666666675"/>
    <m/>
    <m/>
    <x v="3"/>
  </r>
  <r>
    <n v="2026352035"/>
    <d v="2016-05-08T00:00:00"/>
    <n v="541"/>
    <n v="9.0166666666666675"/>
    <m/>
    <m/>
    <x v="3"/>
  </r>
  <r>
    <n v="2026352035"/>
    <d v="2016-05-09T00:00:00"/>
    <n v="531"/>
    <n v="8.85"/>
    <m/>
    <m/>
    <x v="3"/>
  </r>
  <r>
    <n v="2026352035"/>
    <d v="2016-05-10T00:00:00"/>
    <n v="357"/>
    <n v="5.95"/>
    <m/>
    <m/>
    <x v="3"/>
  </r>
  <r>
    <n v="2026352035"/>
    <d v="2016-05-11T00:00:00"/>
    <n v="523"/>
    <n v="8.7166666666666668"/>
    <m/>
    <m/>
    <x v="3"/>
  </r>
  <r>
    <n v="2026352035"/>
    <d v="2016-05-12T00:00:00"/>
    <n v="456"/>
    <n v="7.6"/>
    <m/>
    <m/>
    <x v="3"/>
  </r>
  <r>
    <n v="2320127002"/>
    <d v="2016-04-23T00:00:00"/>
    <n v="61"/>
    <n v="1.0166666666666666"/>
    <m/>
    <m/>
    <x v="3"/>
  </r>
  <r>
    <n v="2347167796"/>
    <d v="2016-04-13T00:00:00"/>
    <n v="467"/>
    <n v="7.7833333333333332"/>
    <m/>
    <m/>
    <x v="3"/>
  </r>
  <r>
    <n v="2347167796"/>
    <d v="2016-04-14T00:00:00"/>
    <n v="445"/>
    <n v="7.416666666666667"/>
    <m/>
    <m/>
    <x v="3"/>
  </r>
  <r>
    <n v="2347167796"/>
    <d v="2016-04-15T00:00:00"/>
    <n v="452"/>
    <n v="7.5333333333333332"/>
    <m/>
    <m/>
    <x v="3"/>
  </r>
  <r>
    <n v="2347167796"/>
    <d v="2016-04-17T00:00:00"/>
    <n v="556"/>
    <n v="9.2666666666666675"/>
    <m/>
    <m/>
    <x v="3"/>
  </r>
  <r>
    <n v="2347167796"/>
    <d v="2016-04-18T00:00:00"/>
    <n v="500"/>
    <n v="8.3333333333333339"/>
    <m/>
    <m/>
    <x v="3"/>
  </r>
  <r>
    <n v="2347167796"/>
    <d v="2016-04-19T00:00:00"/>
    <n v="465"/>
    <n v="7.75"/>
    <m/>
    <m/>
    <x v="3"/>
  </r>
  <r>
    <n v="2347167796"/>
    <d v="2016-04-21T00:00:00"/>
    <n v="460"/>
    <n v="7.666666666666667"/>
    <m/>
    <m/>
    <x v="3"/>
  </r>
  <r>
    <n v="2347167796"/>
    <d v="2016-04-22T00:00:00"/>
    <n v="405"/>
    <n v="6.75"/>
    <m/>
    <m/>
    <x v="3"/>
  </r>
  <r>
    <n v="2347167796"/>
    <d v="2016-04-23T00:00:00"/>
    <n v="374"/>
    <n v="6.2333333333333334"/>
    <m/>
    <m/>
    <x v="3"/>
  </r>
  <r>
    <n v="2347167796"/>
    <d v="2016-04-24T00:00:00"/>
    <n v="442"/>
    <n v="7.3666666666666663"/>
    <m/>
    <m/>
    <x v="3"/>
  </r>
  <r>
    <n v="2347167796"/>
    <d v="2016-04-25T00:00:00"/>
    <n v="433"/>
    <n v="7.2166666666666668"/>
    <m/>
    <m/>
    <x v="3"/>
  </r>
  <r>
    <n v="2347167796"/>
    <d v="2016-04-26T00:00:00"/>
    <n v="436"/>
    <n v="7.2666666666666666"/>
    <m/>
    <m/>
    <x v="3"/>
  </r>
  <r>
    <n v="2347167796"/>
    <d v="2016-04-27T00:00:00"/>
    <n v="448"/>
    <n v="7.4666666666666668"/>
    <m/>
    <m/>
    <x v="3"/>
  </r>
  <r>
    <n v="2347167796"/>
    <d v="2016-04-28T00:00:00"/>
    <n v="408"/>
    <n v="6.8"/>
    <m/>
    <m/>
    <x v="3"/>
  </r>
  <r>
    <n v="2347167796"/>
    <d v="2016-04-29T00:00:00"/>
    <n v="411"/>
    <n v="6.85"/>
    <m/>
    <m/>
    <x v="3"/>
  </r>
  <r>
    <n v="3977333714"/>
    <d v="2016-04-12T00:00:00"/>
    <n v="274"/>
    <n v="4.5666666666666664"/>
    <m/>
    <m/>
    <x v="3"/>
  </r>
  <r>
    <n v="3977333714"/>
    <d v="2016-04-13T00:00:00"/>
    <n v="295"/>
    <n v="4.916666666666667"/>
    <m/>
    <m/>
    <x v="3"/>
  </r>
  <r>
    <n v="3977333714"/>
    <d v="2016-04-14T00:00:00"/>
    <n v="291"/>
    <n v="4.8499999999999996"/>
    <m/>
    <m/>
    <x v="3"/>
  </r>
  <r>
    <n v="3977333714"/>
    <d v="2016-04-15T00:00:00"/>
    <n v="424"/>
    <n v="7.0666666666666664"/>
    <m/>
    <m/>
    <x v="3"/>
  </r>
  <r>
    <n v="3977333714"/>
    <d v="2016-04-16T00:00:00"/>
    <n v="283"/>
    <n v="4.7166666666666668"/>
    <m/>
    <m/>
    <x v="3"/>
  </r>
  <r>
    <n v="3977333714"/>
    <d v="2016-04-17T00:00:00"/>
    <n v="381"/>
    <n v="6.35"/>
    <m/>
    <m/>
    <x v="3"/>
  </r>
  <r>
    <n v="3977333714"/>
    <d v="2016-04-18T00:00:00"/>
    <n v="412"/>
    <n v="6.8666666666666663"/>
    <m/>
    <m/>
    <x v="3"/>
  </r>
  <r>
    <n v="3977333714"/>
    <d v="2016-04-19T00:00:00"/>
    <n v="219"/>
    <n v="3.65"/>
    <m/>
    <m/>
    <x v="3"/>
  </r>
  <r>
    <n v="3977333714"/>
    <d v="2016-04-20T00:00:00"/>
    <n v="152"/>
    <n v="2.5333333333333332"/>
    <m/>
    <m/>
    <x v="3"/>
  </r>
  <r>
    <n v="3977333714"/>
    <d v="2016-04-21T00:00:00"/>
    <n v="332"/>
    <n v="5.5333333333333332"/>
    <m/>
    <m/>
    <x v="3"/>
  </r>
  <r>
    <n v="3977333714"/>
    <d v="2016-04-22T00:00:00"/>
    <n v="355"/>
    <n v="5.916666666666667"/>
    <m/>
    <m/>
    <x v="3"/>
  </r>
  <r>
    <n v="3977333714"/>
    <d v="2016-04-23T00:00:00"/>
    <n v="235"/>
    <n v="3.9166666666666665"/>
    <m/>
    <m/>
    <x v="3"/>
  </r>
  <r>
    <n v="3977333714"/>
    <d v="2016-04-24T00:00:00"/>
    <n v="310"/>
    <n v="5.166666666666667"/>
    <m/>
    <m/>
    <x v="3"/>
  </r>
  <r>
    <n v="3977333714"/>
    <d v="2016-04-25T00:00:00"/>
    <n v="262"/>
    <n v="4.3666666666666663"/>
    <m/>
    <m/>
    <x v="3"/>
  </r>
  <r>
    <n v="3977333714"/>
    <d v="2016-04-26T00:00:00"/>
    <n v="250"/>
    <n v="4.166666666666667"/>
    <m/>
    <m/>
    <x v="3"/>
  </r>
  <r>
    <n v="3977333714"/>
    <d v="2016-04-27T00:00:00"/>
    <n v="349"/>
    <n v="5.8166666666666664"/>
    <m/>
    <m/>
    <x v="3"/>
  </r>
  <r>
    <n v="3977333714"/>
    <d v="2016-04-28T00:00:00"/>
    <n v="261"/>
    <n v="4.3499999999999996"/>
    <m/>
    <m/>
    <x v="3"/>
  </r>
  <r>
    <n v="3977333714"/>
    <d v="2016-04-29T00:00:00"/>
    <n v="333"/>
    <n v="5.55"/>
    <m/>
    <m/>
    <x v="3"/>
  </r>
  <r>
    <n v="3977333714"/>
    <d v="2016-04-30T00:00:00"/>
    <n v="237"/>
    <n v="3.95"/>
    <m/>
    <m/>
    <x v="3"/>
  </r>
  <r>
    <n v="3977333714"/>
    <d v="2016-05-01T00:00:00"/>
    <n v="383"/>
    <n v="6.3833333333333337"/>
    <m/>
    <m/>
    <x v="3"/>
  </r>
  <r>
    <n v="3977333714"/>
    <d v="2016-05-02T00:00:00"/>
    <n v="230"/>
    <n v="3.8333333333333335"/>
    <m/>
    <m/>
    <x v="3"/>
  </r>
  <r>
    <n v="3977333714"/>
    <d v="2016-05-03T00:00:00"/>
    <n v="292"/>
    <n v="4.8666666666666663"/>
    <m/>
    <m/>
    <x v="3"/>
  </r>
  <r>
    <n v="3977333714"/>
    <d v="2016-05-04T00:00:00"/>
    <n v="213"/>
    <n v="3.55"/>
    <m/>
    <m/>
    <x v="3"/>
  </r>
  <r>
    <n v="3977333714"/>
    <d v="2016-05-05T00:00:00"/>
    <n v="318"/>
    <n v="5.3"/>
    <m/>
    <m/>
    <x v="3"/>
  </r>
  <r>
    <n v="3977333714"/>
    <d v="2016-05-06T00:00:00"/>
    <n v="323"/>
    <n v="5.3833333333333337"/>
    <m/>
    <m/>
    <x v="3"/>
  </r>
  <r>
    <n v="3977333714"/>
    <d v="2016-05-07T00:00:00"/>
    <n v="237"/>
    <n v="3.95"/>
    <m/>
    <m/>
    <x v="3"/>
  </r>
  <r>
    <n v="3977333714"/>
    <d v="2016-05-08T00:00:00"/>
    <n v="259"/>
    <n v="4.3166666666666664"/>
    <m/>
    <m/>
    <x v="3"/>
  </r>
  <r>
    <n v="3977333714"/>
    <d v="2016-05-10T00:00:00"/>
    <n v="312"/>
    <n v="5.2"/>
    <m/>
    <m/>
    <x v="3"/>
  </r>
  <r>
    <n v="4020332650"/>
    <d v="2016-04-12T00:00:00"/>
    <n v="501"/>
    <n v="8.35"/>
    <m/>
    <m/>
    <x v="3"/>
  </r>
  <r>
    <n v="4020332650"/>
    <d v="2016-04-16T00:00:00"/>
    <n v="77"/>
    <n v="1.2833333333333334"/>
    <m/>
    <m/>
    <x v="3"/>
  </r>
  <r>
    <n v="4020332650"/>
    <d v="2016-05-03T00:00:00"/>
    <n v="322"/>
    <n v="5.3666666666666663"/>
    <m/>
    <m/>
    <x v="3"/>
  </r>
  <r>
    <n v="4020332650"/>
    <d v="2016-05-04T00:00:00"/>
    <n v="478"/>
    <n v="7.9666666666666668"/>
    <m/>
    <m/>
    <x v="3"/>
  </r>
  <r>
    <n v="4020332650"/>
    <d v="2016-05-05T00:00:00"/>
    <n v="226"/>
    <n v="3.7666666666666666"/>
    <m/>
    <m/>
    <x v="3"/>
  </r>
  <r>
    <n v="4020332650"/>
    <d v="2016-05-06T00:00:00"/>
    <n v="385"/>
    <n v="6.416666666666667"/>
    <m/>
    <m/>
    <x v="3"/>
  </r>
  <r>
    <n v="4020332650"/>
    <d v="2016-05-08T00:00:00"/>
    <n v="364"/>
    <n v="6.0666666666666664"/>
    <m/>
    <m/>
    <x v="3"/>
  </r>
  <r>
    <n v="4020332650"/>
    <d v="2016-05-10T00:00:00"/>
    <n v="442"/>
    <n v="7.3666666666666663"/>
    <m/>
    <m/>
    <x v="3"/>
  </r>
  <r>
    <n v="4319703577"/>
    <d v="2016-04-14T00:00:00"/>
    <n v="535"/>
    <n v="8.9166666666666661"/>
    <m/>
    <m/>
    <x v="3"/>
  </r>
  <r>
    <n v="4319703577"/>
    <d v="2016-04-15T00:00:00"/>
    <n v="465"/>
    <n v="7.75"/>
    <m/>
    <m/>
    <x v="3"/>
  </r>
  <r>
    <n v="4319703577"/>
    <d v="2016-04-16T00:00:00"/>
    <n v="506"/>
    <n v="8.4333333333333336"/>
    <m/>
    <m/>
    <x v="3"/>
  </r>
  <r>
    <n v="4319703577"/>
    <d v="2016-04-18T00:00:00"/>
    <n v="515"/>
    <n v="8.5833333333333339"/>
    <m/>
    <m/>
    <x v="3"/>
  </r>
  <r>
    <n v="4319703577"/>
    <d v="2016-04-19T00:00:00"/>
    <n v="461"/>
    <n v="7.6833333333333336"/>
    <m/>
    <m/>
    <x v="3"/>
  </r>
  <r>
    <n v="4319703577"/>
    <d v="2016-04-20T00:00:00"/>
    <n v="523"/>
    <n v="8.7166666666666668"/>
    <m/>
    <m/>
    <x v="3"/>
  </r>
  <r>
    <n v="4319703577"/>
    <d v="2016-04-21T00:00:00"/>
    <n v="59"/>
    <n v="0.98333333333333328"/>
    <m/>
    <m/>
    <x v="3"/>
  </r>
  <r>
    <n v="4319703577"/>
    <d v="2016-04-22T00:00:00"/>
    <n v="533"/>
    <n v="8.8833333333333329"/>
    <m/>
    <m/>
    <x v="3"/>
  </r>
  <r>
    <n v="4319703577"/>
    <d v="2016-04-23T00:00:00"/>
    <n v="692"/>
    <n v="11.533333333333333"/>
    <m/>
    <m/>
    <x v="3"/>
  </r>
  <r>
    <n v="4319703577"/>
    <d v="2016-04-24T00:00:00"/>
    <n v="467"/>
    <n v="7.7833333333333332"/>
    <m/>
    <m/>
    <x v="3"/>
  </r>
  <r>
    <n v="4319703577"/>
    <d v="2016-04-25T00:00:00"/>
    <n v="488"/>
    <n v="8.1333333333333329"/>
    <m/>
    <m/>
    <x v="3"/>
  </r>
  <r>
    <n v="4319703577"/>
    <d v="2016-04-26T00:00:00"/>
    <n v="505"/>
    <n v="8.4166666666666661"/>
    <m/>
    <m/>
    <x v="3"/>
  </r>
  <r>
    <n v="4319703577"/>
    <d v="2016-04-27T00:00:00"/>
    <n v="286"/>
    <n v="4.7666666666666666"/>
    <m/>
    <m/>
    <x v="3"/>
  </r>
  <r>
    <n v="4319703577"/>
    <d v="2016-04-28T00:00:00"/>
    <n v="497"/>
    <n v="8.2833333333333332"/>
    <m/>
    <m/>
    <x v="3"/>
  </r>
  <r>
    <n v="4319703577"/>
    <d v="2016-04-29T00:00:00"/>
    <n v="523"/>
    <n v="8.7166666666666668"/>
    <m/>
    <m/>
    <x v="3"/>
  </r>
  <r>
    <n v="4319703577"/>
    <d v="2016-04-30T00:00:00"/>
    <n v="490"/>
    <n v="8.1666666666666661"/>
    <m/>
    <m/>
    <x v="3"/>
  </r>
  <r>
    <n v="4319703577"/>
    <d v="2016-05-01T00:00:00"/>
    <n v="484"/>
    <n v="8.0666666666666664"/>
    <m/>
    <m/>
    <x v="3"/>
  </r>
  <r>
    <n v="4319703577"/>
    <d v="2016-05-02T00:00:00"/>
    <n v="478"/>
    <n v="7.9666666666666668"/>
    <m/>
    <m/>
    <x v="3"/>
  </r>
  <r>
    <n v="4319703577"/>
    <d v="2016-05-03T00:00:00"/>
    <n v="474"/>
    <n v="7.9"/>
    <m/>
    <m/>
    <x v="3"/>
  </r>
  <r>
    <n v="4319703577"/>
    <d v="2016-05-06T00:00:00"/>
    <n v="450"/>
    <n v="7.5"/>
    <m/>
    <m/>
    <x v="3"/>
  </r>
  <r>
    <n v="4319703577"/>
    <d v="2016-05-07T00:00:00"/>
    <n v="507"/>
    <n v="8.4499999999999993"/>
    <m/>
    <m/>
    <x v="3"/>
  </r>
  <r>
    <n v="4319703577"/>
    <d v="2016-05-08T00:00:00"/>
    <n v="602"/>
    <n v="10.033333333333333"/>
    <m/>
    <m/>
    <x v="3"/>
  </r>
  <r>
    <n v="4319703577"/>
    <d v="2016-05-09T00:00:00"/>
    <n v="535"/>
    <n v="8.9166666666666661"/>
    <m/>
    <m/>
    <x v="3"/>
  </r>
  <r>
    <n v="4319703577"/>
    <d v="2016-05-10T00:00:00"/>
    <n v="487"/>
    <n v="8.1166666666666671"/>
    <m/>
    <m/>
    <x v="3"/>
  </r>
  <r>
    <n v="4319703577"/>
    <d v="2016-05-11T00:00:00"/>
    <n v="529"/>
    <n v="8.8166666666666664"/>
    <m/>
    <m/>
    <x v="3"/>
  </r>
  <r>
    <n v="4319703577"/>
    <d v="2016-05-12T00:00:00"/>
    <n v="302"/>
    <n v="5.0333333333333332"/>
    <m/>
    <m/>
    <x v="3"/>
  </r>
  <r>
    <n v="4388161847"/>
    <d v="2016-04-15T00:00:00"/>
    <n v="499"/>
    <n v="8.3166666666666664"/>
    <m/>
    <m/>
    <x v="3"/>
  </r>
  <r>
    <n v="4388161847"/>
    <d v="2016-04-16T00:00:00"/>
    <n v="426"/>
    <n v="7.1"/>
    <m/>
    <m/>
    <x v="3"/>
  </r>
  <r>
    <n v="4388161847"/>
    <d v="2016-04-17T00:00:00"/>
    <n v="619"/>
    <n v="10.316666666666666"/>
    <m/>
    <m/>
    <x v="3"/>
  </r>
  <r>
    <n v="4388161847"/>
    <d v="2016-04-18T00:00:00"/>
    <n v="99"/>
    <n v="1.65"/>
    <m/>
    <m/>
    <x v="3"/>
  </r>
  <r>
    <n v="4388161847"/>
    <d v="2016-04-19T00:00:00"/>
    <n v="329"/>
    <n v="5.4833333333333334"/>
    <m/>
    <m/>
    <x v="3"/>
  </r>
  <r>
    <n v="4388161847"/>
    <d v="2016-04-20T00:00:00"/>
    <n v="421"/>
    <n v="7.0166666666666666"/>
    <m/>
    <m/>
    <x v="3"/>
  </r>
  <r>
    <n v="4388161847"/>
    <d v="2016-04-21T00:00:00"/>
    <n v="442"/>
    <n v="7.3666666666666663"/>
    <m/>
    <m/>
    <x v="3"/>
  </r>
  <r>
    <n v="4388161847"/>
    <d v="2016-04-22T00:00:00"/>
    <n v="82"/>
    <n v="1.3666666666666667"/>
    <m/>
    <m/>
    <x v="3"/>
  </r>
  <r>
    <n v="4388161847"/>
    <d v="2016-04-23T00:00:00"/>
    <n v="478"/>
    <n v="7.9666666666666668"/>
    <m/>
    <m/>
    <x v="3"/>
  </r>
  <r>
    <n v="4388161847"/>
    <d v="2016-04-24T00:00:00"/>
    <n v="552"/>
    <n v="9.1999999999999993"/>
    <m/>
    <m/>
    <x v="3"/>
  </r>
  <r>
    <n v="4388161847"/>
    <d v="2016-04-26T00:00:00"/>
    <n v="319"/>
    <n v="5.3166666666666664"/>
    <m/>
    <m/>
    <x v="3"/>
  </r>
  <r>
    <n v="4388161847"/>
    <d v="2016-04-27T00:00:00"/>
    <n v="439"/>
    <n v="7.3166666666666664"/>
    <m/>
    <m/>
    <x v="3"/>
  </r>
  <r>
    <n v="4388161847"/>
    <d v="2016-04-28T00:00:00"/>
    <n v="428"/>
    <n v="7.1333333333333337"/>
    <m/>
    <m/>
    <x v="3"/>
  </r>
  <r>
    <n v="4388161847"/>
    <d v="2016-04-30T00:00:00"/>
    <n v="409"/>
    <n v="6.8166666666666664"/>
    <m/>
    <m/>
    <x v="3"/>
  </r>
  <r>
    <n v="4388161847"/>
    <d v="2016-05-01T00:00:00"/>
    <n v="547"/>
    <n v="9.1166666666666671"/>
    <m/>
    <m/>
    <x v="3"/>
  </r>
  <r>
    <n v="4388161847"/>
    <d v="2016-05-02T00:00:00"/>
    <n v="368"/>
    <n v="6.1333333333333337"/>
    <m/>
    <m/>
    <x v="3"/>
  </r>
  <r>
    <n v="4388161847"/>
    <d v="2016-05-04T00:00:00"/>
    <n v="390"/>
    <n v="6.5"/>
    <m/>
    <m/>
    <x v="3"/>
  </r>
  <r>
    <n v="4388161847"/>
    <d v="2016-05-05T00:00:00"/>
    <n v="471"/>
    <n v="7.85"/>
    <m/>
    <m/>
    <x v="3"/>
  </r>
  <r>
    <n v="4388161847"/>
    <d v="2016-05-05T00:00:00"/>
    <n v="471"/>
    <n v="7.85"/>
    <m/>
    <m/>
    <x v="3"/>
  </r>
  <r>
    <n v="4388161847"/>
    <d v="2016-05-07T00:00:00"/>
    <n v="472"/>
    <n v="7.8666666666666663"/>
    <m/>
    <m/>
    <x v="3"/>
  </r>
  <r>
    <n v="4388161847"/>
    <d v="2016-05-08T00:00:00"/>
    <n v="529"/>
    <n v="8.8166666666666664"/>
    <m/>
    <m/>
    <x v="3"/>
  </r>
  <r>
    <n v="4388161847"/>
    <d v="2016-05-09T00:00:00"/>
    <n v="62"/>
    <n v="1.0333333333333334"/>
    <m/>
    <m/>
    <x v="3"/>
  </r>
  <r>
    <n v="4388161847"/>
    <d v="2016-05-10T00:00:00"/>
    <n v="354"/>
    <n v="5.9"/>
    <m/>
    <m/>
    <x v="3"/>
  </r>
  <r>
    <n v="4388161847"/>
    <d v="2016-05-11T00:00:00"/>
    <n v="469"/>
    <n v="7.8166666666666664"/>
    <m/>
    <m/>
    <x v="3"/>
  </r>
  <r>
    <n v="4445114986"/>
    <d v="2016-04-12T00:00:00"/>
    <n v="429"/>
    <n v="7.15"/>
    <m/>
    <m/>
    <x v="3"/>
  </r>
  <r>
    <n v="4445114986"/>
    <d v="2016-04-13T00:00:00"/>
    <n v="370"/>
    <n v="6.166666666666667"/>
    <m/>
    <m/>
    <x v="3"/>
  </r>
  <r>
    <n v="4445114986"/>
    <d v="2016-04-14T00:00:00"/>
    <n v="441"/>
    <n v="7.35"/>
    <m/>
    <m/>
    <x v="3"/>
  </r>
  <r>
    <n v="4445114986"/>
    <d v="2016-04-15T00:00:00"/>
    <n v="337"/>
    <n v="5.6166666666666663"/>
    <m/>
    <m/>
    <x v="3"/>
  </r>
  <r>
    <n v="4445114986"/>
    <d v="2016-04-16T00:00:00"/>
    <n v="462"/>
    <n v="7.7"/>
    <m/>
    <m/>
    <x v="3"/>
  </r>
  <r>
    <n v="4445114986"/>
    <d v="2016-04-17T00:00:00"/>
    <n v="98"/>
    <n v="1.6333333333333333"/>
    <m/>
    <m/>
    <x v="3"/>
  </r>
  <r>
    <n v="4445114986"/>
    <d v="2016-04-19T00:00:00"/>
    <n v="388"/>
    <n v="6.4666666666666668"/>
    <m/>
    <m/>
    <x v="3"/>
  </r>
  <r>
    <n v="4445114986"/>
    <d v="2016-04-20T00:00:00"/>
    <n v="439"/>
    <n v="7.3166666666666664"/>
    <m/>
    <m/>
    <x v="3"/>
  </r>
  <r>
    <n v="4445114986"/>
    <d v="2016-04-21T00:00:00"/>
    <n v="436"/>
    <n v="7.2666666666666666"/>
    <m/>
    <m/>
    <x v="3"/>
  </r>
  <r>
    <n v="4445114986"/>
    <d v="2016-04-22T00:00:00"/>
    <n v="388"/>
    <n v="6.4666666666666668"/>
    <m/>
    <m/>
    <x v="3"/>
  </r>
  <r>
    <n v="4445114986"/>
    <d v="2016-04-25T00:00:00"/>
    <n v="328"/>
    <n v="5.4666666666666668"/>
    <m/>
    <m/>
    <x v="3"/>
  </r>
  <r>
    <n v="4445114986"/>
    <d v="2016-04-26T00:00:00"/>
    <n v="353"/>
    <n v="5.8833333333333337"/>
    <m/>
    <m/>
    <x v="3"/>
  </r>
  <r>
    <n v="4445114986"/>
    <d v="2016-04-27T00:00:00"/>
    <n v="332"/>
    <n v="5.5333333333333332"/>
    <m/>
    <m/>
    <x v="3"/>
  </r>
  <r>
    <n v="4445114986"/>
    <d v="2016-04-28T00:00:00"/>
    <n v="419"/>
    <n v="6.9833333333333334"/>
    <m/>
    <m/>
    <x v="3"/>
  </r>
  <r>
    <n v="4445114986"/>
    <d v="2016-04-29T00:00:00"/>
    <n v="106"/>
    <n v="1.7666666666666666"/>
    <m/>
    <m/>
    <x v="3"/>
  </r>
  <r>
    <n v="4445114986"/>
    <d v="2016-04-30T00:00:00"/>
    <n v="322"/>
    <n v="5.3666666666666663"/>
    <m/>
    <m/>
    <x v="3"/>
  </r>
  <r>
    <n v="4445114986"/>
    <d v="2016-05-01T00:00:00"/>
    <n v="439"/>
    <n v="7.3166666666666664"/>
    <m/>
    <m/>
    <x v="3"/>
  </r>
  <r>
    <n v="4445114986"/>
    <d v="2016-05-02T00:00:00"/>
    <n v="502"/>
    <n v="8.3666666666666671"/>
    <m/>
    <m/>
    <x v="3"/>
  </r>
  <r>
    <n v="4445114986"/>
    <d v="2016-05-03T00:00:00"/>
    <n v="417"/>
    <n v="6.95"/>
    <m/>
    <m/>
    <x v="3"/>
  </r>
  <r>
    <n v="4445114986"/>
    <d v="2016-05-04T00:00:00"/>
    <n v="337"/>
    <n v="5.6166666666666663"/>
    <m/>
    <m/>
    <x v="3"/>
  </r>
  <r>
    <n v="4445114986"/>
    <d v="2016-05-05T00:00:00"/>
    <n v="462"/>
    <n v="7.7"/>
    <m/>
    <m/>
    <x v="3"/>
  </r>
  <r>
    <n v="4445114986"/>
    <d v="2016-05-06T00:00:00"/>
    <n v="374"/>
    <n v="6.2333333333333334"/>
    <m/>
    <m/>
    <x v="3"/>
  </r>
  <r>
    <n v="4445114986"/>
    <d v="2016-05-07T00:00:00"/>
    <n v="401"/>
    <n v="6.6833333333333336"/>
    <m/>
    <m/>
    <x v="3"/>
  </r>
  <r>
    <n v="4445114986"/>
    <d v="2016-05-08T00:00:00"/>
    <n v="361"/>
    <n v="6.0166666666666666"/>
    <m/>
    <m/>
    <x v="3"/>
  </r>
  <r>
    <n v="4445114986"/>
    <d v="2016-05-09T00:00:00"/>
    <n v="457"/>
    <n v="7.6166666666666663"/>
    <m/>
    <m/>
    <x v="3"/>
  </r>
  <r>
    <n v="4445114986"/>
    <d v="2016-05-10T00:00:00"/>
    <n v="405"/>
    <n v="6.75"/>
    <m/>
    <m/>
    <x v="3"/>
  </r>
  <r>
    <n v="4445114986"/>
    <d v="2016-05-11T00:00:00"/>
    <n v="499"/>
    <n v="8.3166666666666664"/>
    <m/>
    <m/>
    <x v="3"/>
  </r>
  <r>
    <n v="4445114986"/>
    <d v="2016-05-12T00:00:00"/>
    <n v="483"/>
    <n v="8.0500000000000007"/>
    <m/>
    <m/>
    <x v="3"/>
  </r>
  <r>
    <n v="4558609924"/>
    <d v="2016-04-21T00:00:00"/>
    <n v="126"/>
    <n v="2.1"/>
    <m/>
    <m/>
    <x v="3"/>
  </r>
  <r>
    <n v="4558609924"/>
    <d v="2016-04-26T00:00:00"/>
    <n v="103"/>
    <n v="1.7166666666666666"/>
    <m/>
    <m/>
    <x v="3"/>
  </r>
  <r>
    <n v="4558609924"/>
    <d v="2016-04-29T00:00:00"/>
    <n v="171"/>
    <n v="2.85"/>
    <m/>
    <m/>
    <x v="3"/>
  </r>
  <r>
    <n v="4558609924"/>
    <d v="2016-05-01T00:00:00"/>
    <n v="115"/>
    <n v="1.9166666666666667"/>
    <m/>
    <m/>
    <x v="3"/>
  </r>
  <r>
    <n v="4558609924"/>
    <d v="2016-05-08T00:00:00"/>
    <n v="123"/>
    <n v="2.0499999999999998"/>
    <m/>
    <m/>
    <x v="3"/>
  </r>
  <r>
    <n v="4702921684"/>
    <d v="2016-04-12T00:00:00"/>
    <n v="425"/>
    <n v="7.083333333333333"/>
    <m/>
    <m/>
    <x v="3"/>
  </r>
  <r>
    <n v="4702921684"/>
    <d v="2016-04-13T00:00:00"/>
    <n v="400"/>
    <n v="6.666666666666667"/>
    <m/>
    <m/>
    <x v="3"/>
  </r>
  <r>
    <n v="4702921684"/>
    <d v="2016-04-14T00:00:00"/>
    <n v="384"/>
    <n v="6.4"/>
    <m/>
    <m/>
    <x v="3"/>
  </r>
  <r>
    <n v="4702921684"/>
    <d v="2016-04-15T00:00:00"/>
    <n v="253"/>
    <n v="4.2166666666666668"/>
    <m/>
    <m/>
    <x v="3"/>
  </r>
  <r>
    <n v="4702921684"/>
    <d v="2016-04-16T00:00:00"/>
    <n v="382"/>
    <n v="6.3666666666666663"/>
    <m/>
    <m/>
    <x v="3"/>
  </r>
  <r>
    <n v="4702921684"/>
    <d v="2016-04-17T00:00:00"/>
    <n v="591"/>
    <n v="9.85"/>
    <m/>
    <m/>
    <x v="3"/>
  </r>
  <r>
    <n v="4702921684"/>
    <d v="2016-04-18T00:00:00"/>
    <n v="293"/>
    <n v="4.8833333333333337"/>
    <m/>
    <m/>
    <x v="3"/>
  </r>
  <r>
    <n v="4702921684"/>
    <d v="2016-04-19T00:00:00"/>
    <n v="457"/>
    <n v="7.6166666666666663"/>
    <m/>
    <m/>
    <x v="3"/>
  </r>
  <r>
    <n v="4702921684"/>
    <d v="2016-04-20T00:00:00"/>
    <n v="454"/>
    <n v="7.5666666666666664"/>
    <m/>
    <m/>
    <x v="3"/>
  </r>
  <r>
    <n v="4702921684"/>
    <d v="2016-04-21T00:00:00"/>
    <n v="425"/>
    <n v="7.083333333333333"/>
    <m/>
    <m/>
    <x v="3"/>
  </r>
  <r>
    <n v="4702921684"/>
    <d v="2016-04-23T00:00:00"/>
    <n v="465"/>
    <n v="7.75"/>
    <m/>
    <m/>
    <x v="3"/>
  </r>
  <r>
    <n v="4702921684"/>
    <d v="2016-04-24T00:00:00"/>
    <n v="480"/>
    <n v="8"/>
    <m/>
    <m/>
    <x v="3"/>
  </r>
  <r>
    <n v="4702921684"/>
    <d v="2016-04-25T00:00:00"/>
    <n v="370"/>
    <n v="6.166666666666667"/>
    <m/>
    <m/>
    <x v="3"/>
  </r>
  <r>
    <n v="4702921684"/>
    <d v="2016-04-26T00:00:00"/>
    <n v="421"/>
    <n v="7.0166666666666666"/>
    <m/>
    <m/>
    <x v="3"/>
  </r>
  <r>
    <n v="4702921684"/>
    <d v="2016-04-27T00:00:00"/>
    <n v="432"/>
    <n v="7.2"/>
    <m/>
    <m/>
    <x v="3"/>
  </r>
  <r>
    <n v="4702921684"/>
    <d v="2016-04-28T00:00:00"/>
    <n v="442"/>
    <n v="7.3666666666666663"/>
    <m/>
    <m/>
    <x v="3"/>
  </r>
  <r>
    <n v="4702921684"/>
    <d v="2016-04-29T00:00:00"/>
    <n v="433"/>
    <n v="7.2166666666666668"/>
    <m/>
    <m/>
    <x v="3"/>
  </r>
  <r>
    <n v="4702921684"/>
    <d v="2016-04-30T00:00:00"/>
    <n v="479"/>
    <n v="7.9833333333333334"/>
    <m/>
    <m/>
    <x v="3"/>
  </r>
  <r>
    <n v="4702921684"/>
    <d v="2016-05-03T00:00:00"/>
    <n v="327"/>
    <n v="5.45"/>
    <m/>
    <m/>
    <x v="3"/>
  </r>
  <r>
    <n v="4702921684"/>
    <d v="2016-05-04T00:00:00"/>
    <n v="412"/>
    <n v="6.8666666666666663"/>
    <m/>
    <m/>
    <x v="3"/>
  </r>
  <r>
    <n v="4702921684"/>
    <d v="2016-05-05T00:00:00"/>
    <n v="414"/>
    <n v="6.9"/>
    <m/>
    <m/>
    <x v="3"/>
  </r>
  <r>
    <n v="4702921684"/>
    <d v="2016-05-06T00:00:00"/>
    <n v="404"/>
    <n v="6.7333333333333334"/>
    <m/>
    <m/>
    <x v="3"/>
  </r>
  <r>
    <n v="4702921684"/>
    <d v="2016-05-07T00:00:00"/>
    <n v="520"/>
    <n v="8.6666666666666661"/>
    <m/>
    <m/>
    <x v="3"/>
  </r>
  <r>
    <n v="4702921684"/>
    <d v="2016-05-07T00:00:00"/>
    <n v="520"/>
    <n v="8.6666666666666661"/>
    <m/>
    <m/>
    <x v="3"/>
  </r>
  <r>
    <n v="4702921684"/>
    <d v="2016-05-09T00:00:00"/>
    <n v="435"/>
    <n v="7.25"/>
    <m/>
    <m/>
    <x v="3"/>
  </r>
  <r>
    <n v="4702921684"/>
    <d v="2016-05-10T00:00:00"/>
    <n v="416"/>
    <n v="6.9333333333333336"/>
    <m/>
    <m/>
    <x v="3"/>
  </r>
  <r>
    <n v="4702921684"/>
    <d v="2016-05-11T00:00:00"/>
    <n v="354"/>
    <n v="5.9"/>
    <m/>
    <m/>
    <x v="3"/>
  </r>
  <r>
    <n v="4702921684"/>
    <d v="2016-05-12T00:00:00"/>
    <n v="404"/>
    <n v="6.7333333333333334"/>
    <m/>
    <m/>
    <x v="3"/>
  </r>
  <r>
    <n v="5553957443"/>
    <d v="2016-04-12T00:00:00"/>
    <n v="441"/>
    <n v="7.35"/>
    <m/>
    <m/>
    <x v="3"/>
  </r>
  <r>
    <n v="5553957443"/>
    <d v="2016-04-13T00:00:00"/>
    <n v="455"/>
    <n v="7.583333333333333"/>
    <m/>
    <m/>
    <x v="3"/>
  </r>
  <r>
    <n v="5553957443"/>
    <d v="2016-04-14T00:00:00"/>
    <n v="357"/>
    <n v="5.95"/>
    <m/>
    <m/>
    <x v="3"/>
  </r>
  <r>
    <n v="5553957443"/>
    <d v="2016-04-15T00:00:00"/>
    <n v="377"/>
    <n v="6.2833333333333332"/>
    <m/>
    <m/>
    <x v="3"/>
  </r>
  <r>
    <n v="5553957443"/>
    <d v="2016-04-16T00:00:00"/>
    <n v="651"/>
    <n v="10.85"/>
    <m/>
    <m/>
    <x v="3"/>
  </r>
  <r>
    <n v="5553957443"/>
    <d v="2016-04-17T00:00:00"/>
    <n v="350"/>
    <n v="5.833333333333333"/>
    <m/>
    <m/>
    <x v="3"/>
  </r>
  <r>
    <n v="5553957443"/>
    <d v="2016-04-18T00:00:00"/>
    <n v="520"/>
    <n v="8.6666666666666661"/>
    <m/>
    <m/>
    <x v="3"/>
  </r>
  <r>
    <n v="5553957443"/>
    <d v="2016-04-19T00:00:00"/>
    <n v="357"/>
    <n v="5.95"/>
    <m/>
    <m/>
    <x v="3"/>
  </r>
  <r>
    <n v="5553957443"/>
    <d v="2016-04-20T00:00:00"/>
    <n v="658"/>
    <n v="10.966666666666667"/>
    <m/>
    <m/>
    <x v="3"/>
  </r>
  <r>
    <n v="5553957443"/>
    <d v="2016-04-21T00:00:00"/>
    <n v="399"/>
    <n v="6.65"/>
    <m/>
    <m/>
    <x v="3"/>
  </r>
  <r>
    <n v="5553957443"/>
    <d v="2016-04-22T00:00:00"/>
    <n v="322"/>
    <n v="5.3666666666666663"/>
    <m/>
    <m/>
    <x v="3"/>
  </r>
  <r>
    <n v="5553957443"/>
    <d v="2016-04-23T00:00:00"/>
    <n v="631"/>
    <n v="10.516666666666667"/>
    <m/>
    <m/>
    <x v="3"/>
  </r>
  <r>
    <n v="5553957443"/>
    <d v="2016-04-24T00:00:00"/>
    <n v="553"/>
    <n v="9.2166666666666668"/>
    <m/>
    <m/>
    <x v="3"/>
  </r>
  <r>
    <n v="5553957443"/>
    <d v="2016-04-25T00:00:00"/>
    <n v="433"/>
    <n v="7.2166666666666668"/>
    <m/>
    <m/>
    <x v="3"/>
  </r>
  <r>
    <n v="5553957443"/>
    <d v="2016-04-26T00:00:00"/>
    <n v="412"/>
    <n v="6.8666666666666663"/>
    <m/>
    <m/>
    <x v="3"/>
  </r>
  <r>
    <n v="5553957443"/>
    <d v="2016-04-27T00:00:00"/>
    <n v="347"/>
    <n v="5.7833333333333332"/>
    <m/>
    <m/>
    <x v="3"/>
  </r>
  <r>
    <n v="5553957443"/>
    <d v="2016-04-28T00:00:00"/>
    <n v="421"/>
    <n v="7.0166666666666666"/>
    <m/>
    <m/>
    <x v="3"/>
  </r>
  <r>
    <n v="5553957443"/>
    <d v="2016-04-29T00:00:00"/>
    <n v="450"/>
    <n v="7.5"/>
    <m/>
    <m/>
    <x v="3"/>
  </r>
  <r>
    <n v="5553957443"/>
    <d v="2016-04-30T00:00:00"/>
    <n v="775"/>
    <n v="12.916666666666666"/>
    <m/>
    <m/>
    <x v="3"/>
  </r>
  <r>
    <n v="5553957443"/>
    <d v="2016-05-01T00:00:00"/>
    <n v="622"/>
    <n v="10.366666666666667"/>
    <m/>
    <m/>
    <x v="3"/>
  </r>
  <r>
    <n v="5553957443"/>
    <d v="2016-05-02T00:00:00"/>
    <n v="409"/>
    <n v="6.8166666666666664"/>
    <m/>
    <m/>
    <x v="3"/>
  </r>
  <r>
    <n v="5553957443"/>
    <d v="2016-05-03T00:00:00"/>
    <n v="380"/>
    <n v="6.333333333333333"/>
    <m/>
    <m/>
    <x v="3"/>
  </r>
  <r>
    <n v="5553957443"/>
    <d v="2016-05-04T00:00:00"/>
    <n v="447"/>
    <n v="7.45"/>
    <m/>
    <m/>
    <x v="3"/>
  </r>
  <r>
    <n v="5553957443"/>
    <d v="2016-05-05T00:00:00"/>
    <n v="419"/>
    <n v="6.9833333333333334"/>
    <m/>
    <m/>
    <x v="3"/>
  </r>
  <r>
    <n v="5553957443"/>
    <d v="2016-05-06T00:00:00"/>
    <n v="400"/>
    <n v="6.666666666666667"/>
    <m/>
    <m/>
    <x v="3"/>
  </r>
  <r>
    <n v="5553957443"/>
    <d v="2016-05-07T00:00:00"/>
    <n v="442"/>
    <n v="7.3666666666666663"/>
    <m/>
    <m/>
    <x v="3"/>
  </r>
  <r>
    <n v="5553957443"/>
    <d v="2016-05-08T00:00:00"/>
    <n v="568"/>
    <n v="9.4666666666666668"/>
    <m/>
    <m/>
    <x v="3"/>
  </r>
  <r>
    <n v="5553957443"/>
    <d v="2016-05-09T00:00:00"/>
    <n v="453"/>
    <n v="7.55"/>
    <m/>
    <m/>
    <x v="3"/>
  </r>
  <r>
    <n v="5553957443"/>
    <d v="2016-05-10T00:00:00"/>
    <n v="418"/>
    <n v="6.9666666666666668"/>
    <m/>
    <m/>
    <x v="3"/>
  </r>
  <r>
    <n v="5553957443"/>
    <d v="2016-05-11T00:00:00"/>
    <n v="463"/>
    <n v="7.7166666666666668"/>
    <m/>
    <m/>
    <x v="3"/>
  </r>
  <r>
    <n v="5553957443"/>
    <d v="2016-05-12T00:00:00"/>
    <n v="438"/>
    <n v="7.3"/>
    <m/>
    <m/>
    <x v="3"/>
  </r>
  <r>
    <n v="5577150313"/>
    <d v="2016-04-12T00:00:00"/>
    <n v="419"/>
    <n v="6.9833333333333334"/>
    <m/>
    <m/>
    <x v="3"/>
  </r>
  <r>
    <n v="5577150313"/>
    <d v="2016-04-13T00:00:00"/>
    <n v="432"/>
    <n v="7.2"/>
    <m/>
    <m/>
    <x v="3"/>
  </r>
  <r>
    <n v="5577150313"/>
    <d v="2016-04-14T00:00:00"/>
    <n v="477"/>
    <n v="7.95"/>
    <m/>
    <m/>
    <x v="3"/>
  </r>
  <r>
    <n v="5577150313"/>
    <d v="2016-04-15T00:00:00"/>
    <n v="392"/>
    <n v="6.5333333333333332"/>
    <m/>
    <m/>
    <x v="3"/>
  </r>
  <r>
    <n v="5577150313"/>
    <d v="2016-04-16T00:00:00"/>
    <n v="406"/>
    <n v="6.7666666666666666"/>
    <m/>
    <m/>
    <x v="3"/>
  </r>
  <r>
    <n v="5577150313"/>
    <d v="2016-04-17T00:00:00"/>
    <n v="549"/>
    <n v="9.15"/>
    <m/>
    <m/>
    <x v="3"/>
  </r>
  <r>
    <n v="5577150313"/>
    <d v="2016-04-18T00:00:00"/>
    <n v="527"/>
    <n v="8.7833333333333332"/>
    <m/>
    <m/>
    <x v="3"/>
  </r>
  <r>
    <n v="5577150313"/>
    <d v="2016-04-19T00:00:00"/>
    <n v="449"/>
    <n v="7.4833333333333334"/>
    <m/>
    <m/>
    <x v="3"/>
  </r>
  <r>
    <n v="5577150313"/>
    <d v="2016-04-20T00:00:00"/>
    <n v="447"/>
    <n v="7.45"/>
    <m/>
    <m/>
    <x v="3"/>
  </r>
  <r>
    <n v="5577150313"/>
    <d v="2016-04-21T00:00:00"/>
    <n v="414"/>
    <n v="6.9"/>
    <m/>
    <m/>
    <x v="3"/>
  </r>
  <r>
    <n v="5577150313"/>
    <d v="2016-04-22T00:00:00"/>
    <n v="338"/>
    <n v="5.6333333333333337"/>
    <m/>
    <m/>
    <x v="3"/>
  </r>
  <r>
    <n v="5577150313"/>
    <d v="2016-04-23T00:00:00"/>
    <n v="384"/>
    <n v="6.4"/>
    <m/>
    <m/>
    <x v="3"/>
  </r>
  <r>
    <n v="5577150313"/>
    <d v="2016-04-24T00:00:00"/>
    <n v="543"/>
    <n v="9.0500000000000007"/>
    <m/>
    <m/>
    <x v="3"/>
  </r>
  <r>
    <n v="5577150313"/>
    <d v="2016-04-25T00:00:00"/>
    <n v="421"/>
    <n v="7.0166666666666666"/>
    <m/>
    <m/>
    <x v="3"/>
  </r>
  <r>
    <n v="5577150313"/>
    <d v="2016-04-26T00:00:00"/>
    <n v="354"/>
    <n v="5.9"/>
    <m/>
    <m/>
    <x v="3"/>
  </r>
  <r>
    <n v="5577150313"/>
    <d v="2016-04-27T00:00:00"/>
    <n v="424"/>
    <n v="7.0666666666666664"/>
    <m/>
    <m/>
    <x v="3"/>
  </r>
  <r>
    <n v="5577150313"/>
    <d v="2016-04-28T00:00:00"/>
    <n v="361"/>
    <n v="6.0166666666666666"/>
    <m/>
    <m/>
    <x v="3"/>
  </r>
  <r>
    <n v="5577150313"/>
    <d v="2016-04-29T00:00:00"/>
    <n v="459"/>
    <n v="7.65"/>
    <m/>
    <m/>
    <x v="3"/>
  </r>
  <r>
    <n v="5577150313"/>
    <d v="2016-04-30T00:00:00"/>
    <n v="412"/>
    <n v="6.8666666666666663"/>
    <m/>
    <m/>
    <x v="3"/>
  </r>
  <r>
    <n v="5577150313"/>
    <d v="2016-05-01T00:00:00"/>
    <n v="379"/>
    <n v="6.3166666666666664"/>
    <m/>
    <m/>
    <x v="3"/>
  </r>
  <r>
    <n v="5577150313"/>
    <d v="2016-05-02T00:00:00"/>
    <n v="525"/>
    <n v="8.75"/>
    <m/>
    <m/>
    <x v="3"/>
  </r>
  <r>
    <n v="5577150313"/>
    <d v="2016-05-03T00:00:00"/>
    <n v="508"/>
    <n v="8.4666666666666668"/>
    <m/>
    <m/>
    <x v="3"/>
  </r>
  <r>
    <n v="5577150313"/>
    <d v="2016-05-04T00:00:00"/>
    <n v="603"/>
    <n v="10.050000000000001"/>
    <m/>
    <m/>
    <x v="3"/>
  </r>
  <r>
    <n v="5577150313"/>
    <d v="2016-05-05T00:00:00"/>
    <n v="74"/>
    <n v="1.2333333333333334"/>
    <m/>
    <m/>
    <x v="3"/>
  </r>
  <r>
    <n v="5577150313"/>
    <d v="2016-05-10T00:00:00"/>
    <n v="504"/>
    <n v="8.4"/>
    <m/>
    <m/>
    <x v="3"/>
  </r>
  <r>
    <n v="5577150313"/>
    <d v="2016-05-11T00:00:00"/>
    <n v="431"/>
    <n v="7.1833333333333336"/>
    <m/>
    <m/>
    <x v="3"/>
  </r>
  <r>
    <n v="6117666160"/>
    <d v="2016-04-16T00:00:00"/>
    <n v="380"/>
    <n v="6.333333333333333"/>
    <m/>
    <m/>
    <x v="3"/>
  </r>
  <r>
    <n v="6117666160"/>
    <d v="2016-04-17T00:00:00"/>
    <n v="336"/>
    <n v="5.6"/>
    <m/>
    <m/>
    <x v="3"/>
  </r>
  <r>
    <n v="6117666160"/>
    <d v="2016-04-18T00:00:00"/>
    <n v="493"/>
    <n v="8.2166666666666668"/>
    <m/>
    <m/>
    <x v="3"/>
  </r>
  <r>
    <n v="6117666160"/>
    <d v="2016-04-19T00:00:00"/>
    <n v="465"/>
    <n v="7.75"/>
    <m/>
    <m/>
    <x v="3"/>
  </r>
  <r>
    <n v="6117666160"/>
    <d v="2016-04-20T00:00:00"/>
    <n v="474"/>
    <n v="7.9"/>
    <m/>
    <m/>
    <x v="3"/>
  </r>
  <r>
    <n v="6117666160"/>
    <d v="2016-04-21T00:00:00"/>
    <n v="508"/>
    <n v="8.4666666666666668"/>
    <m/>
    <m/>
    <x v="3"/>
  </r>
  <r>
    <n v="6117666160"/>
    <d v="2016-04-22T00:00:00"/>
    <n v="480"/>
    <n v="8"/>
    <m/>
    <m/>
    <x v="3"/>
  </r>
  <r>
    <n v="6117666160"/>
    <d v="2016-04-23T00:00:00"/>
    <n v="492"/>
    <n v="8.1999999999999993"/>
    <m/>
    <m/>
    <x v="3"/>
  </r>
  <r>
    <n v="6117666160"/>
    <d v="2016-04-24T00:00:00"/>
    <n v="353"/>
    <n v="5.8833333333333337"/>
    <m/>
    <m/>
    <x v="3"/>
  </r>
  <r>
    <n v="6117666160"/>
    <d v="2016-04-27T00:00:00"/>
    <n v="542"/>
    <n v="9.0333333333333332"/>
    <m/>
    <m/>
    <x v="3"/>
  </r>
  <r>
    <n v="6117666160"/>
    <d v="2016-04-28T00:00:00"/>
    <n v="393"/>
    <n v="6.55"/>
    <m/>
    <m/>
    <x v="3"/>
  </r>
  <r>
    <n v="6117666160"/>
    <d v="2016-04-29T00:00:00"/>
    <n v="600"/>
    <n v="10"/>
    <m/>
    <m/>
    <x v="3"/>
  </r>
  <r>
    <n v="6117666160"/>
    <d v="2016-05-01T00:00:00"/>
    <n v="507"/>
    <n v="8.4499999999999993"/>
    <m/>
    <m/>
    <x v="3"/>
  </r>
  <r>
    <n v="6117666160"/>
    <d v="2016-05-05T00:00:00"/>
    <n v="392"/>
    <n v="6.5333333333333332"/>
    <m/>
    <m/>
    <x v="3"/>
  </r>
  <r>
    <n v="6117666160"/>
    <d v="2016-05-06T00:00:00"/>
    <n v="658"/>
    <n v="10.966666666666667"/>
    <m/>
    <m/>
    <x v="3"/>
  </r>
  <r>
    <n v="6117666160"/>
    <d v="2016-05-07T00:00:00"/>
    <n v="498"/>
    <n v="8.3000000000000007"/>
    <m/>
    <m/>
    <x v="3"/>
  </r>
  <r>
    <n v="6117666160"/>
    <d v="2016-05-08T00:00:00"/>
    <n v="555"/>
    <n v="9.25"/>
    <m/>
    <m/>
    <x v="3"/>
  </r>
  <r>
    <n v="6117666160"/>
    <d v="2016-05-09T00:00:00"/>
    <n v="492"/>
    <n v="8.1999999999999993"/>
    <m/>
    <m/>
    <x v="3"/>
  </r>
  <r>
    <n v="6775888955"/>
    <d v="2016-04-13T00:00:00"/>
    <n v="235"/>
    <n v="3.9166666666666665"/>
    <m/>
    <m/>
    <x v="3"/>
  </r>
  <r>
    <n v="6775888955"/>
    <d v="2016-04-14T00:00:00"/>
    <n v="423"/>
    <n v="7.05"/>
    <m/>
    <m/>
    <x v="3"/>
  </r>
  <r>
    <n v="6775888955"/>
    <d v="2016-04-15T00:00:00"/>
    <n v="391"/>
    <n v="6.5166666666666666"/>
    <m/>
    <m/>
    <x v="3"/>
  </r>
  <r>
    <n v="6962181067"/>
    <d v="2016-04-12T00:00:00"/>
    <n v="366"/>
    <n v="6.1"/>
    <m/>
    <m/>
    <x v="3"/>
  </r>
  <r>
    <n v="6962181067"/>
    <d v="2016-04-13T00:00:00"/>
    <n v="630"/>
    <n v="10.5"/>
    <m/>
    <m/>
    <x v="3"/>
  </r>
  <r>
    <n v="6962181067"/>
    <d v="2016-04-14T00:00:00"/>
    <n v="508"/>
    <n v="8.4666666666666668"/>
    <m/>
    <m/>
    <x v="3"/>
  </r>
  <r>
    <n v="6962181067"/>
    <d v="2016-04-15T00:00:00"/>
    <n v="370"/>
    <n v="6.166666666666667"/>
    <m/>
    <m/>
    <x v="3"/>
  </r>
  <r>
    <n v="6962181067"/>
    <d v="2016-04-16T00:00:00"/>
    <n v="357"/>
    <n v="5.95"/>
    <m/>
    <m/>
    <x v="3"/>
  </r>
  <r>
    <n v="6962181067"/>
    <d v="2016-04-17T00:00:00"/>
    <n v="427"/>
    <n v="7.1166666666666663"/>
    <m/>
    <m/>
    <x v="3"/>
  </r>
  <r>
    <n v="6962181067"/>
    <d v="2016-04-18T00:00:00"/>
    <n v="442"/>
    <n v="7.3666666666666663"/>
    <m/>
    <m/>
    <x v="3"/>
  </r>
  <r>
    <n v="6962181067"/>
    <d v="2016-04-19T00:00:00"/>
    <n v="476"/>
    <n v="7.9333333333333336"/>
    <m/>
    <m/>
    <x v="3"/>
  </r>
  <r>
    <n v="6962181067"/>
    <d v="2016-04-20T00:00:00"/>
    <n v="418"/>
    <n v="6.9666666666666668"/>
    <m/>
    <m/>
    <x v="3"/>
  </r>
  <r>
    <n v="6962181067"/>
    <d v="2016-04-21T00:00:00"/>
    <n v="451"/>
    <n v="7.5166666666666666"/>
    <m/>
    <m/>
    <x v="3"/>
  </r>
  <r>
    <n v="6962181067"/>
    <d v="2016-04-22T00:00:00"/>
    <n v="425"/>
    <n v="7.083333333333333"/>
    <m/>
    <m/>
    <x v="3"/>
  </r>
  <r>
    <n v="6962181067"/>
    <d v="2016-04-23T00:00:00"/>
    <n v="528"/>
    <n v="8.8000000000000007"/>
    <m/>
    <m/>
    <x v="3"/>
  </r>
  <r>
    <n v="6962181067"/>
    <d v="2016-04-24T00:00:00"/>
    <n v="511"/>
    <n v="8.5166666666666675"/>
    <m/>
    <m/>
    <x v="3"/>
  </r>
  <r>
    <n v="6962181067"/>
    <d v="2016-04-25T00:00:00"/>
    <n v="400"/>
    <n v="6.666666666666667"/>
    <m/>
    <m/>
    <x v="3"/>
  </r>
  <r>
    <n v="6962181067"/>
    <d v="2016-04-26T00:00:00"/>
    <n v="441"/>
    <n v="7.35"/>
    <m/>
    <m/>
    <x v="3"/>
  </r>
  <r>
    <n v="6962181067"/>
    <d v="2016-04-27T00:00:00"/>
    <n v="455"/>
    <n v="7.583333333333333"/>
    <m/>
    <m/>
    <x v="3"/>
  </r>
  <r>
    <n v="6962181067"/>
    <d v="2016-04-28T00:00:00"/>
    <n v="440"/>
    <n v="7.333333333333333"/>
    <m/>
    <m/>
    <x v="3"/>
  </r>
  <r>
    <n v="6962181067"/>
    <d v="2016-04-29T00:00:00"/>
    <n v="433"/>
    <n v="7.2166666666666668"/>
    <m/>
    <m/>
    <x v="3"/>
  </r>
  <r>
    <n v="6962181067"/>
    <d v="2016-04-30T00:00:00"/>
    <n v="422"/>
    <n v="7.0333333333333332"/>
    <m/>
    <m/>
    <x v="3"/>
  </r>
  <r>
    <n v="6962181067"/>
    <d v="2016-05-01T00:00:00"/>
    <n v="411"/>
    <n v="6.85"/>
    <m/>
    <m/>
    <x v="3"/>
  </r>
  <r>
    <n v="6962181067"/>
    <d v="2016-05-02T00:00:00"/>
    <n v="466"/>
    <n v="7.7666666666666666"/>
    <m/>
    <m/>
    <x v="3"/>
  </r>
  <r>
    <n v="6962181067"/>
    <d v="2016-05-03T00:00:00"/>
    <n v="394"/>
    <n v="6.5666666666666664"/>
    <m/>
    <m/>
    <x v="3"/>
  </r>
  <r>
    <n v="6962181067"/>
    <d v="2016-05-04T00:00:00"/>
    <n v="442"/>
    <n v="7.3666666666666663"/>
    <m/>
    <m/>
    <x v="3"/>
  </r>
  <r>
    <n v="6962181067"/>
    <d v="2016-05-05T00:00:00"/>
    <n v="467"/>
    <n v="7.7833333333333332"/>
    <m/>
    <m/>
    <x v="3"/>
  </r>
  <r>
    <n v="6962181067"/>
    <d v="2016-05-06T00:00:00"/>
    <n v="443"/>
    <n v="7.3833333333333337"/>
    <m/>
    <m/>
    <x v="3"/>
  </r>
  <r>
    <n v="6962181067"/>
    <d v="2016-05-07T00:00:00"/>
    <n v="298"/>
    <n v="4.9666666666666668"/>
    <m/>
    <m/>
    <x v="3"/>
  </r>
  <r>
    <n v="6962181067"/>
    <d v="2016-05-08T00:00:00"/>
    <n v="541"/>
    <n v="9.0166666666666675"/>
    <m/>
    <m/>
    <x v="3"/>
  </r>
  <r>
    <n v="6962181067"/>
    <d v="2016-05-09T00:00:00"/>
    <n v="489"/>
    <n v="8.15"/>
    <m/>
    <m/>
    <x v="3"/>
  </r>
  <r>
    <n v="6962181067"/>
    <d v="2016-05-10T00:00:00"/>
    <n v="469"/>
    <n v="7.8166666666666664"/>
    <m/>
    <m/>
    <x v="3"/>
  </r>
  <r>
    <n v="6962181067"/>
    <d v="2016-05-11T00:00:00"/>
    <n v="452"/>
    <n v="7.5333333333333332"/>
    <m/>
    <m/>
    <x v="3"/>
  </r>
  <r>
    <n v="6962181067"/>
    <d v="2016-05-12T00:00:00"/>
    <n v="516"/>
    <n v="8.6"/>
    <m/>
    <m/>
    <x v="3"/>
  </r>
  <r>
    <n v="7007744171"/>
    <d v="2016-04-16T00:00:00"/>
    <n v="79"/>
    <n v="1.3166666666666667"/>
    <m/>
    <m/>
    <x v="3"/>
  </r>
  <r>
    <n v="7007744171"/>
    <d v="2016-05-01T00:00:00"/>
    <n v="58"/>
    <n v="0.96666666666666667"/>
    <m/>
    <m/>
    <x v="3"/>
  </r>
  <r>
    <n v="7086361926"/>
    <d v="2016-04-12T00:00:00"/>
    <n v="514"/>
    <n v="8.5666666666666664"/>
    <m/>
    <m/>
    <x v="3"/>
  </r>
  <r>
    <n v="7086361926"/>
    <d v="2016-04-13T00:00:00"/>
    <n v="451"/>
    <n v="7.5166666666666666"/>
    <m/>
    <m/>
    <x v="3"/>
  </r>
  <r>
    <n v="7086361926"/>
    <d v="2016-04-14T00:00:00"/>
    <n v="472"/>
    <n v="7.8666666666666663"/>
    <m/>
    <m/>
    <x v="3"/>
  </r>
  <r>
    <n v="7086361926"/>
    <d v="2016-04-15T00:00:00"/>
    <n v="377"/>
    <n v="6.2833333333333332"/>
    <m/>
    <m/>
    <x v="3"/>
  </r>
  <r>
    <n v="7086361926"/>
    <d v="2016-04-19T00:00:00"/>
    <n v="472"/>
    <n v="7.8666666666666663"/>
    <m/>
    <m/>
    <x v="3"/>
  </r>
  <r>
    <n v="7086361926"/>
    <d v="2016-04-20T00:00:00"/>
    <n v="492"/>
    <n v="8.1999999999999993"/>
    <m/>
    <m/>
    <x v="3"/>
  </r>
  <r>
    <n v="7086361926"/>
    <d v="2016-04-21T00:00:00"/>
    <n v="390"/>
    <n v="6.5"/>
    <m/>
    <m/>
    <x v="3"/>
  </r>
  <r>
    <n v="7086361926"/>
    <d v="2016-04-22T00:00:00"/>
    <n v="428"/>
    <n v="7.1333333333333337"/>
    <m/>
    <m/>
    <x v="3"/>
  </r>
  <r>
    <n v="7086361926"/>
    <d v="2016-04-24T00:00:00"/>
    <n v="681"/>
    <n v="11.35"/>
    <m/>
    <m/>
    <x v="3"/>
  </r>
  <r>
    <n v="7086361926"/>
    <d v="2016-04-25T00:00:00"/>
    <n v="446"/>
    <n v="7.4333333333333336"/>
    <m/>
    <m/>
    <x v="3"/>
  </r>
  <r>
    <n v="7086361926"/>
    <d v="2016-04-26T00:00:00"/>
    <n v="485"/>
    <n v="8.0833333333333339"/>
    <m/>
    <m/>
    <x v="3"/>
  </r>
  <r>
    <n v="7086361926"/>
    <d v="2016-04-27T00:00:00"/>
    <n v="469"/>
    <n v="7.8166666666666664"/>
    <m/>
    <m/>
    <x v="3"/>
  </r>
  <r>
    <n v="7086361926"/>
    <d v="2016-04-28T00:00:00"/>
    <n v="354"/>
    <n v="5.9"/>
    <m/>
    <m/>
    <x v="3"/>
  </r>
  <r>
    <n v="7086361926"/>
    <d v="2016-04-30T00:00:00"/>
    <n v="485"/>
    <n v="8.0833333333333339"/>
    <m/>
    <m/>
    <x v="3"/>
  </r>
  <r>
    <n v="7086361926"/>
    <d v="2016-05-01T00:00:00"/>
    <n v="388"/>
    <n v="6.4666666666666668"/>
    <m/>
    <m/>
    <x v="3"/>
  </r>
  <r>
    <n v="7086361926"/>
    <d v="2016-05-02T00:00:00"/>
    <n v="440"/>
    <n v="7.333333333333333"/>
    <m/>
    <m/>
    <x v="3"/>
  </r>
  <r>
    <n v="7086361926"/>
    <d v="2016-05-03T00:00:00"/>
    <n v="456"/>
    <n v="7.6"/>
    <m/>
    <m/>
    <x v="3"/>
  </r>
  <r>
    <n v="7086361926"/>
    <d v="2016-05-04T00:00:00"/>
    <n v="420"/>
    <n v="7"/>
    <m/>
    <m/>
    <x v="3"/>
  </r>
  <r>
    <n v="7086361926"/>
    <d v="2016-05-06T00:00:00"/>
    <n v="322"/>
    <n v="5.3666666666666663"/>
    <m/>
    <m/>
    <x v="3"/>
  </r>
  <r>
    <n v="7086361926"/>
    <d v="2016-05-07T00:00:00"/>
    <n v="530"/>
    <n v="8.8333333333333339"/>
    <m/>
    <m/>
    <x v="3"/>
  </r>
  <r>
    <n v="7086361926"/>
    <d v="2016-05-08T00:00:00"/>
    <n v="481"/>
    <n v="8.0166666666666675"/>
    <m/>
    <m/>
    <x v="3"/>
  </r>
  <r>
    <n v="7086361926"/>
    <d v="2016-05-09T00:00:00"/>
    <n v="427"/>
    <n v="7.1166666666666663"/>
    <m/>
    <m/>
    <x v="3"/>
  </r>
  <r>
    <n v="7086361926"/>
    <d v="2016-05-11T00:00:00"/>
    <n v="451"/>
    <n v="7.5166666666666666"/>
    <m/>
    <m/>
    <x v="3"/>
  </r>
  <r>
    <n v="7086361926"/>
    <d v="2016-05-12T00:00:00"/>
    <n v="444"/>
    <n v="7.4"/>
    <m/>
    <m/>
    <x v="3"/>
  </r>
  <r>
    <n v="8053475328"/>
    <d v="2016-04-20T00:00:00"/>
    <n v="486"/>
    <n v="8.1"/>
    <m/>
    <m/>
    <x v="3"/>
  </r>
  <r>
    <n v="8053475328"/>
    <d v="2016-04-23T00:00:00"/>
    <n v="331"/>
    <n v="5.5166666666666666"/>
    <m/>
    <m/>
    <x v="3"/>
  </r>
  <r>
    <n v="8053475328"/>
    <d v="2016-05-07T00:00:00"/>
    <n v="74"/>
    <n v="1.2333333333333334"/>
    <m/>
    <m/>
    <x v="3"/>
  </r>
  <r>
    <n v="8378563200"/>
    <d v="2016-04-12T00:00:00"/>
    <n v="338"/>
    <n v="5.6333333333333337"/>
    <m/>
    <m/>
    <x v="3"/>
  </r>
  <r>
    <n v="8378563200"/>
    <d v="2016-04-13T00:00:00"/>
    <n v="447"/>
    <n v="7.45"/>
    <m/>
    <m/>
    <x v="3"/>
  </r>
  <r>
    <n v="8378563200"/>
    <d v="2016-04-14T00:00:00"/>
    <n v="424"/>
    <n v="7.0666666666666664"/>
    <m/>
    <m/>
    <x v="3"/>
  </r>
  <r>
    <n v="8378563200"/>
    <d v="2016-04-15T00:00:00"/>
    <n v="513"/>
    <n v="8.5500000000000007"/>
    <m/>
    <m/>
    <x v="3"/>
  </r>
  <r>
    <n v="8378563200"/>
    <d v="2016-04-16T00:00:00"/>
    <n v="611"/>
    <n v="10.183333333333334"/>
    <m/>
    <m/>
    <x v="3"/>
  </r>
  <r>
    <n v="8378563200"/>
    <d v="2016-04-17T00:00:00"/>
    <n v="525"/>
    <n v="8.75"/>
    <m/>
    <m/>
    <x v="3"/>
  </r>
  <r>
    <n v="8378563200"/>
    <d v="2016-04-18T00:00:00"/>
    <n v="398"/>
    <n v="6.6333333333333337"/>
    <m/>
    <m/>
    <x v="3"/>
  </r>
  <r>
    <n v="8378563200"/>
    <d v="2016-04-19T00:00:00"/>
    <n v="387"/>
    <n v="6.45"/>
    <m/>
    <m/>
    <x v="3"/>
  </r>
  <r>
    <n v="8378563200"/>
    <d v="2016-04-20T00:00:00"/>
    <n v="381"/>
    <n v="6.35"/>
    <m/>
    <m/>
    <x v="3"/>
  </r>
  <r>
    <n v="8378563200"/>
    <d v="2016-04-21T00:00:00"/>
    <n v="396"/>
    <n v="6.6"/>
    <m/>
    <m/>
    <x v="3"/>
  </r>
  <r>
    <n v="8378563200"/>
    <d v="2016-04-22T00:00:00"/>
    <n v="441"/>
    <n v="7.35"/>
    <m/>
    <m/>
    <x v="3"/>
  </r>
  <r>
    <n v="8378563200"/>
    <d v="2016-04-23T00:00:00"/>
    <n v="565"/>
    <n v="9.4166666666666661"/>
    <m/>
    <m/>
    <x v="3"/>
  </r>
  <r>
    <n v="8378563200"/>
    <d v="2016-04-24T00:00:00"/>
    <n v="458"/>
    <n v="7.6333333333333337"/>
    <m/>
    <m/>
    <x v="3"/>
  </r>
  <r>
    <n v="8378563200"/>
    <d v="2016-04-25T00:00:00"/>
    <n v="388"/>
    <n v="6.4666666666666668"/>
    <m/>
    <m/>
    <x v="3"/>
  </r>
  <r>
    <n v="8378563200"/>
    <d v="2016-04-25T00:00:00"/>
    <n v="388"/>
    <n v="6.4666666666666668"/>
    <m/>
    <m/>
    <x v="3"/>
  </r>
  <r>
    <n v="8378563200"/>
    <d v="2016-04-26T00:00:00"/>
    <n v="550"/>
    <n v="9.1666666666666661"/>
    <m/>
    <m/>
    <x v="3"/>
  </r>
  <r>
    <n v="8378563200"/>
    <d v="2016-04-27T00:00:00"/>
    <n v="531"/>
    <n v="8.85"/>
    <m/>
    <m/>
    <x v="3"/>
  </r>
  <r>
    <n v="8378563200"/>
    <d v="2016-04-28T00:00:00"/>
    <n v="506"/>
    <n v="8.4333333333333336"/>
    <m/>
    <m/>
    <x v="3"/>
  </r>
  <r>
    <n v="8378563200"/>
    <d v="2016-04-29T00:00:00"/>
    <n v="527"/>
    <n v="8.7833333333333332"/>
    <m/>
    <m/>
    <x v="3"/>
  </r>
  <r>
    <n v="8378563200"/>
    <d v="2016-04-30T00:00:00"/>
    <n v="468"/>
    <n v="7.8"/>
    <m/>
    <m/>
    <x v="3"/>
  </r>
  <r>
    <n v="8378563200"/>
    <d v="2016-05-01T00:00:00"/>
    <n v="475"/>
    <n v="7.916666666666667"/>
    <m/>
    <m/>
    <x v="3"/>
  </r>
  <r>
    <n v="8378563200"/>
    <d v="2016-05-02T00:00:00"/>
    <n v="351"/>
    <n v="5.85"/>
    <m/>
    <m/>
    <x v="3"/>
  </r>
  <r>
    <n v="8378563200"/>
    <d v="2016-05-03T00:00:00"/>
    <n v="405"/>
    <n v="6.75"/>
    <m/>
    <m/>
    <x v="3"/>
  </r>
  <r>
    <n v="8378563200"/>
    <d v="2016-05-04T00:00:00"/>
    <n v="441"/>
    <n v="7.35"/>
    <m/>
    <m/>
    <x v="3"/>
  </r>
  <r>
    <n v="8378563200"/>
    <d v="2016-05-05T00:00:00"/>
    <n v="381"/>
    <n v="6.35"/>
    <m/>
    <m/>
    <x v="3"/>
  </r>
  <r>
    <n v="8378563200"/>
    <d v="2016-05-06T00:00:00"/>
    <n v="323"/>
    <n v="5.3833333333333337"/>
    <m/>
    <m/>
    <x v="3"/>
  </r>
  <r>
    <n v="8378563200"/>
    <d v="2016-05-07T00:00:00"/>
    <n v="459"/>
    <n v="7.65"/>
    <m/>
    <m/>
    <x v="3"/>
  </r>
  <r>
    <n v="8378563200"/>
    <d v="2016-05-08T00:00:00"/>
    <n v="545"/>
    <n v="9.0833333333333339"/>
    <m/>
    <m/>
    <x v="3"/>
  </r>
  <r>
    <n v="8378563200"/>
    <d v="2016-05-09T00:00:00"/>
    <n v="359"/>
    <n v="5.9833333333333334"/>
    <m/>
    <m/>
    <x v="3"/>
  </r>
  <r>
    <n v="8378563200"/>
    <d v="2016-05-10T00:00:00"/>
    <n v="342"/>
    <n v="5.7"/>
    <m/>
    <m/>
    <x v="3"/>
  </r>
  <r>
    <n v="8378563200"/>
    <d v="2016-05-11T00:00:00"/>
    <n v="368"/>
    <n v="6.1333333333333337"/>
    <m/>
    <m/>
    <x v="3"/>
  </r>
  <r>
    <n v="8378563200"/>
    <d v="2016-05-12T00:00:00"/>
    <n v="496"/>
    <n v="8.2666666666666675"/>
    <m/>
    <m/>
    <x v="3"/>
  </r>
  <r>
    <n v="8792009665"/>
    <d v="2016-04-12T00:00:00"/>
    <n v="458"/>
    <n v="7.6333333333333337"/>
    <m/>
    <m/>
    <x v="3"/>
  </r>
  <r>
    <n v="8792009665"/>
    <d v="2016-04-13T00:00:00"/>
    <n v="531"/>
    <n v="8.85"/>
    <m/>
    <m/>
    <x v="3"/>
  </r>
  <r>
    <n v="8792009665"/>
    <d v="2016-04-14T00:00:00"/>
    <n v="486"/>
    <n v="8.1"/>
    <m/>
    <m/>
    <x v="3"/>
  </r>
  <r>
    <n v="8792009665"/>
    <d v="2016-04-15T00:00:00"/>
    <n v="363"/>
    <n v="6.05"/>
    <m/>
    <m/>
    <x v="3"/>
  </r>
  <r>
    <n v="8792009665"/>
    <d v="2016-04-20T00:00:00"/>
    <n v="528"/>
    <n v="8.8000000000000007"/>
    <m/>
    <m/>
    <x v="3"/>
  </r>
  <r>
    <n v="8792009665"/>
    <d v="2016-04-22T00:00:00"/>
    <n v="391"/>
    <n v="6.5166666666666666"/>
    <m/>
    <m/>
    <x v="3"/>
  </r>
  <r>
    <n v="8792009665"/>
    <d v="2016-04-23T00:00:00"/>
    <n v="339"/>
    <n v="5.65"/>
    <m/>
    <m/>
    <x v="3"/>
  </r>
  <r>
    <n v="8792009665"/>
    <d v="2016-04-27T00:00:00"/>
    <n v="423"/>
    <n v="7.05"/>
    <m/>
    <m/>
    <x v="3"/>
  </r>
  <r>
    <n v="8792009665"/>
    <d v="2016-04-28T00:00:00"/>
    <n v="402"/>
    <n v="6.7"/>
    <m/>
    <m/>
    <x v="3"/>
  </r>
  <r>
    <n v="8792009665"/>
    <d v="2016-04-29T00:00:00"/>
    <n v="398"/>
    <n v="6.6333333333333337"/>
    <m/>
    <m/>
    <x v="3"/>
  </r>
  <r>
    <n v="8792009665"/>
    <d v="2016-04-30T00:00:00"/>
    <n v="343"/>
    <n v="5.7166666666666668"/>
    <m/>
    <m/>
    <x v="3"/>
  </r>
  <r>
    <n v="8792009665"/>
    <d v="2016-05-01T00:00:00"/>
    <n v="503"/>
    <n v="8.3833333333333329"/>
    <m/>
    <m/>
    <x v="3"/>
  </r>
  <r>
    <n v="8792009665"/>
    <d v="2016-05-02T00:00:00"/>
    <n v="415"/>
    <n v="6.916666666666667"/>
    <m/>
    <m/>
    <x v="3"/>
  </r>
  <r>
    <n v="8792009665"/>
    <d v="2016-05-03T00:00:00"/>
    <n v="516"/>
    <n v="8.6"/>
    <m/>
    <m/>
    <x v="3"/>
  </r>
  <r>
    <n v="8792009665"/>
    <d v="2016-05-04T00:00:00"/>
    <n v="439"/>
    <n v="7.3166666666666664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3">
  <r>
    <n v="1503960366"/>
    <d v="2016-04-12T00:00:00"/>
    <n v="327"/>
    <n v="5.45"/>
    <n v="1503960366"/>
    <n v="6.0046666666666644"/>
    <x v="0"/>
    <x v="0"/>
  </r>
  <r>
    <n v="1503960366"/>
    <d v="2016-04-13T00:00:00"/>
    <n v="384"/>
    <n v="6.4"/>
    <n v="1644430081"/>
    <n v="4.9000000000000004"/>
    <x v="0"/>
    <x v="0"/>
  </r>
  <r>
    <n v="1503960366"/>
    <d v="2016-04-15T00:00:00"/>
    <n v="412"/>
    <n v="6.8666666666666663"/>
    <n v="1844505072"/>
    <n v="10.866666666666667"/>
    <x v="1"/>
    <x v="0"/>
  </r>
  <r>
    <n v="1503960366"/>
    <d v="2016-04-16T00:00:00"/>
    <n v="340"/>
    <n v="5.666666666666667"/>
    <n v="1927972279"/>
    <n v="6.95"/>
    <x v="0"/>
    <x v="0"/>
  </r>
  <r>
    <n v="1503960366"/>
    <d v="2016-04-17T00:00:00"/>
    <n v="700"/>
    <n v="11.666666666666666"/>
    <n v="2026352035"/>
    <n v="8.4363095238095251"/>
    <x v="1"/>
    <x v="0"/>
  </r>
  <r>
    <n v="1503960366"/>
    <d v="2016-04-19T00:00:00"/>
    <n v="304"/>
    <n v="5.0666666666666664"/>
    <n v="2320127002"/>
    <n v="1.0166666666666666"/>
    <x v="0"/>
    <x v="0"/>
  </r>
  <r>
    <n v="1503960366"/>
    <d v="2016-04-20T00:00:00"/>
    <n v="360"/>
    <n v="6"/>
    <n v="2347167796"/>
    <n v="7.4466666666666663"/>
    <x v="2"/>
    <x v="1"/>
  </r>
  <r>
    <n v="1503960366"/>
    <d v="2016-04-21T00:00:00"/>
    <n v="325"/>
    <n v="5.416666666666667"/>
    <n v="3977333714"/>
    <n v="4.8940476190476181"/>
    <x v="0"/>
    <x v="0"/>
  </r>
  <r>
    <n v="1503960366"/>
    <d v="2016-04-23T00:00:00"/>
    <n v="361"/>
    <n v="6.0166666666666666"/>
    <n v="4020332650"/>
    <n v="5.822916666666667"/>
    <x v="0"/>
    <x v="0"/>
  </r>
  <r>
    <n v="1503960366"/>
    <d v="2016-04-24T00:00:00"/>
    <n v="430"/>
    <n v="7.166666666666667"/>
    <n v="4319703577"/>
    <n v="7.9442307692307699"/>
    <x v="2"/>
    <x v="1"/>
  </r>
  <r>
    <n v="1503960366"/>
    <d v="2016-04-25T00:00:00"/>
    <n v="277"/>
    <n v="4.6166666666666663"/>
    <n v="4388161847"/>
    <n v="6.71875"/>
    <x v="0"/>
    <x v="0"/>
  </r>
  <r>
    <n v="1503960366"/>
    <d v="2016-04-26T00:00:00"/>
    <n v="245"/>
    <n v="4.083333333333333"/>
    <n v="4445114986"/>
    <n v="6.4196428571428568"/>
    <x v="0"/>
    <x v="0"/>
  </r>
  <r>
    <n v="1503960366"/>
    <d v="2016-04-28T00:00:00"/>
    <n v="366"/>
    <n v="6.1"/>
    <n v="4558609924"/>
    <n v="2.1266666666666665"/>
    <x v="0"/>
    <x v="0"/>
  </r>
  <r>
    <n v="1503960366"/>
    <d v="2016-04-29T00:00:00"/>
    <n v="341"/>
    <n v="5.6833333333333336"/>
    <n v="4702921684"/>
    <n v="7.0190476190476181"/>
    <x v="2"/>
    <x v="1"/>
  </r>
  <r>
    <n v="1503960366"/>
    <d v="2016-04-30T00:00:00"/>
    <n v="404"/>
    <n v="6.7333333333333334"/>
    <n v="5553957443"/>
    <n v="7.7247311827956988"/>
    <x v="2"/>
    <x v="1"/>
  </r>
  <r>
    <n v="1503960366"/>
    <d v="2016-05-01T00:00:00"/>
    <n v="369"/>
    <n v="6.15"/>
    <n v="5577150313"/>
    <n v="7.2000000000000011"/>
    <x v="2"/>
    <x v="1"/>
  </r>
  <r>
    <n v="1503960366"/>
    <d v="2016-05-02T00:00:00"/>
    <n v="277"/>
    <n v="4.6166666666666663"/>
    <n v="6117666160"/>
    <n v="7.9796296296296294"/>
    <x v="2"/>
    <x v="1"/>
  </r>
  <r>
    <n v="1503960366"/>
    <d v="2016-05-03T00:00:00"/>
    <n v="273"/>
    <n v="4.55"/>
    <n v="6775888955"/>
    <n v="5.8277777777777784"/>
    <x v="0"/>
    <x v="0"/>
  </r>
  <r>
    <n v="1503960366"/>
    <d v="2016-05-05T00:00:00"/>
    <n v="247"/>
    <n v="4.1166666666666663"/>
    <n v="6962181067"/>
    <n v="7.4666666666666668"/>
    <x v="2"/>
    <x v="1"/>
  </r>
  <r>
    <n v="1503960366"/>
    <d v="2016-05-06T00:00:00"/>
    <n v="334"/>
    <n v="5.5666666666666664"/>
    <n v="7007744171"/>
    <n v="1.1416666666666666"/>
    <x v="0"/>
    <x v="0"/>
  </r>
  <r>
    <n v="1503960366"/>
    <d v="2016-05-07T00:00:00"/>
    <n v="331"/>
    <n v="5.5166666666666666"/>
    <n v="7086361926"/>
    <n v="7.5520833333333357"/>
    <x v="2"/>
    <x v="1"/>
  </r>
  <r>
    <n v="1503960366"/>
    <d v="2016-05-08T00:00:00"/>
    <n v="594"/>
    <n v="9.9"/>
    <n v="8053475328"/>
    <n v="4.95"/>
    <x v="0"/>
    <x v="0"/>
  </r>
  <r>
    <n v="1503960366"/>
    <d v="2016-05-09T00:00:00"/>
    <n v="338"/>
    <n v="5.6333333333333337"/>
    <n v="8378563200"/>
    <n v="7.3890624999999996"/>
    <x v="2"/>
    <x v="1"/>
  </r>
  <r>
    <n v="1503960366"/>
    <d v="2016-05-10T00:00:00"/>
    <n v="383"/>
    <n v="6.3833333333333337"/>
    <n v="8792009665"/>
    <n v="7.2611111111111111"/>
    <x v="2"/>
    <x v="1"/>
  </r>
  <r>
    <n v="1503960366"/>
    <d v="2016-05-11T00:00:00"/>
    <n v="285"/>
    <n v="4.75"/>
    <m/>
    <m/>
    <x v="3"/>
    <x v="1"/>
  </r>
  <r>
    <n v="1644430081"/>
    <d v="2016-04-29T00:00:00"/>
    <n v="119"/>
    <n v="1.9833333333333334"/>
    <m/>
    <m/>
    <x v="3"/>
    <x v="1"/>
  </r>
  <r>
    <n v="1644430081"/>
    <d v="2016-04-30T00:00:00"/>
    <n v="124"/>
    <n v="2.0666666666666669"/>
    <m/>
    <m/>
    <x v="3"/>
    <x v="1"/>
  </r>
  <r>
    <n v="1644430081"/>
    <d v="2016-05-02T00:00:00"/>
    <n v="796"/>
    <n v="13.266666666666667"/>
    <m/>
    <m/>
    <x v="3"/>
    <x v="1"/>
  </r>
  <r>
    <n v="1644430081"/>
    <d v="2016-05-08T00:00:00"/>
    <n v="137"/>
    <n v="2.2833333333333332"/>
    <m/>
    <m/>
    <x v="3"/>
    <x v="1"/>
  </r>
  <r>
    <n v="1844505072"/>
    <d v="2016-04-15T00:00:00"/>
    <n v="644"/>
    <n v="10.733333333333333"/>
    <m/>
    <m/>
    <x v="3"/>
    <x v="1"/>
  </r>
  <r>
    <n v="1844505072"/>
    <d v="2016-04-30T00:00:00"/>
    <n v="722"/>
    <n v="12.033333333333333"/>
    <m/>
    <m/>
    <x v="3"/>
    <x v="1"/>
  </r>
  <r>
    <n v="1844505072"/>
    <d v="2016-05-01T00:00:00"/>
    <n v="590"/>
    <n v="9.8333333333333339"/>
    <m/>
    <m/>
    <x v="3"/>
    <x v="1"/>
  </r>
  <r>
    <n v="1927972279"/>
    <d v="2016-04-12T00:00:00"/>
    <n v="750"/>
    <n v="12.5"/>
    <m/>
    <m/>
    <x v="3"/>
    <x v="1"/>
  </r>
  <r>
    <n v="1927972279"/>
    <d v="2016-04-13T00:00:00"/>
    <n v="398"/>
    <n v="6.6333333333333337"/>
    <m/>
    <m/>
    <x v="3"/>
    <x v="1"/>
  </r>
  <r>
    <n v="1927972279"/>
    <d v="2016-04-15T00:00:00"/>
    <n v="475"/>
    <n v="7.916666666666667"/>
    <m/>
    <m/>
    <x v="3"/>
    <x v="1"/>
  </r>
  <r>
    <n v="1927972279"/>
    <d v="2016-04-26T00:00:00"/>
    <n v="296"/>
    <n v="4.9333333333333336"/>
    <m/>
    <m/>
    <x v="3"/>
    <x v="1"/>
  </r>
  <r>
    <n v="1927972279"/>
    <d v="2016-04-28T00:00:00"/>
    <n v="166"/>
    <n v="2.7666666666666666"/>
    <m/>
    <m/>
    <x v="3"/>
    <x v="1"/>
  </r>
  <r>
    <n v="2026352035"/>
    <d v="2016-04-12T00:00:00"/>
    <n v="503"/>
    <n v="8.3833333333333329"/>
    <m/>
    <m/>
    <x v="3"/>
    <x v="1"/>
  </r>
  <r>
    <n v="2026352035"/>
    <d v="2016-04-13T00:00:00"/>
    <n v="531"/>
    <n v="8.85"/>
    <m/>
    <m/>
    <x v="3"/>
    <x v="1"/>
  </r>
  <r>
    <n v="2026352035"/>
    <d v="2016-04-14T00:00:00"/>
    <n v="545"/>
    <n v="9.0833333333333339"/>
    <m/>
    <m/>
    <x v="3"/>
    <x v="1"/>
  </r>
  <r>
    <n v="2026352035"/>
    <d v="2016-04-15T00:00:00"/>
    <n v="523"/>
    <n v="8.7166666666666668"/>
    <m/>
    <m/>
    <x v="3"/>
    <x v="1"/>
  </r>
  <r>
    <n v="2026352035"/>
    <d v="2016-04-16T00:00:00"/>
    <n v="524"/>
    <n v="8.7333333333333325"/>
    <m/>
    <m/>
    <x v="3"/>
    <x v="1"/>
  </r>
  <r>
    <n v="2026352035"/>
    <d v="2016-04-17T00:00:00"/>
    <n v="437"/>
    <n v="7.2833333333333332"/>
    <m/>
    <m/>
    <x v="3"/>
    <x v="1"/>
  </r>
  <r>
    <n v="2026352035"/>
    <d v="2016-04-19T00:00:00"/>
    <n v="498"/>
    <n v="8.3000000000000007"/>
    <m/>
    <m/>
    <x v="3"/>
    <x v="1"/>
  </r>
  <r>
    <n v="2026352035"/>
    <d v="2016-04-20T00:00:00"/>
    <n v="461"/>
    <n v="7.6833333333333336"/>
    <m/>
    <m/>
    <x v="3"/>
    <x v="1"/>
  </r>
  <r>
    <n v="2026352035"/>
    <d v="2016-04-21T00:00:00"/>
    <n v="477"/>
    <n v="7.95"/>
    <m/>
    <m/>
    <x v="3"/>
    <x v="1"/>
  </r>
  <r>
    <n v="2026352035"/>
    <d v="2016-04-22T00:00:00"/>
    <n v="520"/>
    <n v="8.6666666666666661"/>
    <m/>
    <m/>
    <x v="3"/>
    <x v="1"/>
  </r>
  <r>
    <n v="2026352035"/>
    <d v="2016-04-23T00:00:00"/>
    <n v="522"/>
    <n v="8.6999999999999993"/>
    <m/>
    <m/>
    <x v="3"/>
    <x v="1"/>
  </r>
  <r>
    <n v="2026352035"/>
    <d v="2016-04-24T00:00:00"/>
    <n v="555"/>
    <n v="9.25"/>
    <m/>
    <m/>
    <x v="3"/>
    <x v="1"/>
  </r>
  <r>
    <n v="2026352035"/>
    <d v="2016-04-25T00:00:00"/>
    <n v="506"/>
    <n v="8.4333333333333336"/>
    <m/>
    <m/>
    <x v="3"/>
    <x v="1"/>
  </r>
  <r>
    <n v="2026352035"/>
    <d v="2016-04-27T00:00:00"/>
    <n v="508"/>
    <n v="8.4666666666666668"/>
    <m/>
    <m/>
    <x v="3"/>
    <x v="1"/>
  </r>
  <r>
    <n v="2026352035"/>
    <d v="2016-04-28T00:00:00"/>
    <n v="513"/>
    <n v="8.5500000000000007"/>
    <m/>
    <m/>
    <x v="3"/>
    <x v="1"/>
  </r>
  <r>
    <n v="2026352035"/>
    <d v="2016-04-29T00:00:00"/>
    <n v="490"/>
    <n v="8.1666666666666661"/>
    <m/>
    <m/>
    <x v="3"/>
    <x v="1"/>
  </r>
  <r>
    <n v="2026352035"/>
    <d v="2016-04-30T00:00:00"/>
    <n v="573"/>
    <n v="9.5500000000000007"/>
    <m/>
    <m/>
    <x v="3"/>
    <x v="1"/>
  </r>
  <r>
    <n v="2026352035"/>
    <d v="2016-05-01T00:00:00"/>
    <n v="527"/>
    <n v="8.7833333333333332"/>
    <m/>
    <m/>
    <x v="3"/>
    <x v="1"/>
  </r>
  <r>
    <n v="2026352035"/>
    <d v="2016-05-02T00:00:00"/>
    <n v="511"/>
    <n v="8.5166666666666675"/>
    <m/>
    <m/>
    <x v="3"/>
    <x v="1"/>
  </r>
  <r>
    <n v="2026352035"/>
    <d v="2016-05-04T00:00:00"/>
    <n v="538"/>
    <n v="8.9666666666666668"/>
    <m/>
    <m/>
    <x v="3"/>
    <x v="1"/>
  </r>
  <r>
    <n v="2026352035"/>
    <d v="2016-05-05T00:00:00"/>
    <n v="468"/>
    <n v="7.8"/>
    <m/>
    <m/>
    <x v="3"/>
    <x v="1"/>
  </r>
  <r>
    <n v="2026352035"/>
    <d v="2016-05-06T00:00:00"/>
    <n v="524"/>
    <n v="8.7333333333333325"/>
    <m/>
    <m/>
    <x v="3"/>
    <x v="1"/>
  </r>
  <r>
    <n v="2026352035"/>
    <d v="2016-05-07T00:00:00"/>
    <n v="511"/>
    <n v="8.5166666666666675"/>
    <m/>
    <m/>
    <x v="3"/>
    <x v="1"/>
  </r>
  <r>
    <n v="2026352035"/>
    <d v="2016-05-08T00:00:00"/>
    <n v="541"/>
    <n v="9.0166666666666675"/>
    <m/>
    <m/>
    <x v="3"/>
    <x v="1"/>
  </r>
  <r>
    <n v="2026352035"/>
    <d v="2016-05-09T00:00:00"/>
    <n v="531"/>
    <n v="8.85"/>
    <m/>
    <m/>
    <x v="3"/>
    <x v="1"/>
  </r>
  <r>
    <n v="2026352035"/>
    <d v="2016-05-10T00:00:00"/>
    <n v="357"/>
    <n v="5.95"/>
    <m/>
    <m/>
    <x v="3"/>
    <x v="1"/>
  </r>
  <r>
    <n v="2026352035"/>
    <d v="2016-05-11T00:00:00"/>
    <n v="523"/>
    <n v="8.7166666666666668"/>
    <m/>
    <m/>
    <x v="3"/>
    <x v="1"/>
  </r>
  <r>
    <n v="2026352035"/>
    <d v="2016-05-12T00:00:00"/>
    <n v="456"/>
    <n v="7.6"/>
    <m/>
    <m/>
    <x v="3"/>
    <x v="1"/>
  </r>
  <r>
    <n v="2320127002"/>
    <d v="2016-04-23T00:00:00"/>
    <n v="61"/>
    <n v="1.0166666666666666"/>
    <m/>
    <m/>
    <x v="3"/>
    <x v="1"/>
  </r>
  <r>
    <n v="2347167796"/>
    <d v="2016-04-13T00:00:00"/>
    <n v="467"/>
    <n v="7.7833333333333332"/>
    <m/>
    <m/>
    <x v="3"/>
    <x v="1"/>
  </r>
  <r>
    <n v="2347167796"/>
    <d v="2016-04-14T00:00:00"/>
    <n v="445"/>
    <n v="7.416666666666667"/>
    <m/>
    <m/>
    <x v="3"/>
    <x v="1"/>
  </r>
  <r>
    <n v="2347167796"/>
    <d v="2016-04-15T00:00:00"/>
    <n v="452"/>
    <n v="7.5333333333333332"/>
    <m/>
    <m/>
    <x v="3"/>
    <x v="1"/>
  </r>
  <r>
    <n v="2347167796"/>
    <d v="2016-04-17T00:00:00"/>
    <n v="556"/>
    <n v="9.2666666666666675"/>
    <m/>
    <m/>
    <x v="3"/>
    <x v="1"/>
  </r>
  <r>
    <n v="2347167796"/>
    <d v="2016-04-18T00:00:00"/>
    <n v="500"/>
    <n v="8.3333333333333339"/>
    <m/>
    <m/>
    <x v="3"/>
    <x v="1"/>
  </r>
  <r>
    <n v="2347167796"/>
    <d v="2016-04-19T00:00:00"/>
    <n v="465"/>
    <n v="7.75"/>
    <m/>
    <m/>
    <x v="3"/>
    <x v="1"/>
  </r>
  <r>
    <n v="2347167796"/>
    <d v="2016-04-21T00:00:00"/>
    <n v="460"/>
    <n v="7.666666666666667"/>
    <m/>
    <m/>
    <x v="3"/>
    <x v="1"/>
  </r>
  <r>
    <n v="2347167796"/>
    <d v="2016-04-22T00:00:00"/>
    <n v="405"/>
    <n v="6.75"/>
    <m/>
    <m/>
    <x v="3"/>
    <x v="1"/>
  </r>
  <r>
    <n v="2347167796"/>
    <d v="2016-04-23T00:00:00"/>
    <n v="374"/>
    <n v="6.2333333333333334"/>
    <m/>
    <m/>
    <x v="3"/>
    <x v="1"/>
  </r>
  <r>
    <n v="2347167796"/>
    <d v="2016-04-24T00:00:00"/>
    <n v="442"/>
    <n v="7.3666666666666663"/>
    <m/>
    <m/>
    <x v="3"/>
    <x v="1"/>
  </r>
  <r>
    <n v="2347167796"/>
    <d v="2016-04-25T00:00:00"/>
    <n v="433"/>
    <n v="7.2166666666666668"/>
    <m/>
    <m/>
    <x v="3"/>
    <x v="1"/>
  </r>
  <r>
    <n v="2347167796"/>
    <d v="2016-04-26T00:00:00"/>
    <n v="436"/>
    <n v="7.2666666666666666"/>
    <m/>
    <m/>
    <x v="3"/>
    <x v="1"/>
  </r>
  <r>
    <n v="2347167796"/>
    <d v="2016-04-27T00:00:00"/>
    <n v="448"/>
    <n v="7.4666666666666668"/>
    <m/>
    <m/>
    <x v="3"/>
    <x v="1"/>
  </r>
  <r>
    <n v="2347167796"/>
    <d v="2016-04-28T00:00:00"/>
    <n v="408"/>
    <n v="6.8"/>
    <m/>
    <m/>
    <x v="3"/>
    <x v="1"/>
  </r>
  <r>
    <n v="2347167796"/>
    <d v="2016-04-29T00:00:00"/>
    <n v="411"/>
    <n v="6.85"/>
    <m/>
    <m/>
    <x v="3"/>
    <x v="1"/>
  </r>
  <r>
    <n v="3977333714"/>
    <d v="2016-04-12T00:00:00"/>
    <n v="274"/>
    <n v="4.5666666666666664"/>
    <m/>
    <m/>
    <x v="3"/>
    <x v="1"/>
  </r>
  <r>
    <n v="3977333714"/>
    <d v="2016-04-13T00:00:00"/>
    <n v="295"/>
    <n v="4.916666666666667"/>
    <m/>
    <m/>
    <x v="3"/>
    <x v="1"/>
  </r>
  <r>
    <n v="3977333714"/>
    <d v="2016-04-14T00:00:00"/>
    <n v="291"/>
    <n v="4.8499999999999996"/>
    <m/>
    <m/>
    <x v="3"/>
    <x v="1"/>
  </r>
  <r>
    <n v="3977333714"/>
    <d v="2016-04-15T00:00:00"/>
    <n v="424"/>
    <n v="7.0666666666666664"/>
    <m/>
    <m/>
    <x v="3"/>
    <x v="1"/>
  </r>
  <r>
    <n v="3977333714"/>
    <d v="2016-04-16T00:00:00"/>
    <n v="283"/>
    <n v="4.7166666666666668"/>
    <m/>
    <m/>
    <x v="3"/>
    <x v="1"/>
  </r>
  <r>
    <n v="3977333714"/>
    <d v="2016-04-17T00:00:00"/>
    <n v="381"/>
    <n v="6.35"/>
    <m/>
    <m/>
    <x v="3"/>
    <x v="1"/>
  </r>
  <r>
    <n v="3977333714"/>
    <d v="2016-04-18T00:00:00"/>
    <n v="412"/>
    <n v="6.8666666666666663"/>
    <m/>
    <m/>
    <x v="3"/>
    <x v="1"/>
  </r>
  <r>
    <n v="3977333714"/>
    <d v="2016-04-19T00:00:00"/>
    <n v="219"/>
    <n v="3.65"/>
    <m/>
    <m/>
    <x v="3"/>
    <x v="1"/>
  </r>
  <r>
    <n v="3977333714"/>
    <d v="2016-04-20T00:00:00"/>
    <n v="152"/>
    <n v="2.5333333333333332"/>
    <m/>
    <m/>
    <x v="3"/>
    <x v="1"/>
  </r>
  <r>
    <n v="3977333714"/>
    <d v="2016-04-21T00:00:00"/>
    <n v="332"/>
    <n v="5.5333333333333332"/>
    <m/>
    <m/>
    <x v="3"/>
    <x v="1"/>
  </r>
  <r>
    <n v="3977333714"/>
    <d v="2016-04-22T00:00:00"/>
    <n v="355"/>
    <n v="5.916666666666667"/>
    <m/>
    <m/>
    <x v="3"/>
    <x v="1"/>
  </r>
  <r>
    <n v="3977333714"/>
    <d v="2016-04-23T00:00:00"/>
    <n v="235"/>
    <n v="3.9166666666666665"/>
    <m/>
    <m/>
    <x v="3"/>
    <x v="1"/>
  </r>
  <r>
    <n v="3977333714"/>
    <d v="2016-04-24T00:00:00"/>
    <n v="310"/>
    <n v="5.166666666666667"/>
    <m/>
    <m/>
    <x v="3"/>
    <x v="1"/>
  </r>
  <r>
    <n v="3977333714"/>
    <d v="2016-04-25T00:00:00"/>
    <n v="262"/>
    <n v="4.3666666666666663"/>
    <m/>
    <m/>
    <x v="3"/>
    <x v="1"/>
  </r>
  <r>
    <n v="3977333714"/>
    <d v="2016-04-26T00:00:00"/>
    <n v="250"/>
    <n v="4.166666666666667"/>
    <m/>
    <m/>
    <x v="3"/>
    <x v="1"/>
  </r>
  <r>
    <n v="3977333714"/>
    <d v="2016-04-27T00:00:00"/>
    <n v="349"/>
    <n v="5.8166666666666664"/>
    <m/>
    <m/>
    <x v="3"/>
    <x v="1"/>
  </r>
  <r>
    <n v="3977333714"/>
    <d v="2016-04-28T00:00:00"/>
    <n v="261"/>
    <n v="4.3499999999999996"/>
    <m/>
    <m/>
    <x v="3"/>
    <x v="1"/>
  </r>
  <r>
    <n v="3977333714"/>
    <d v="2016-04-29T00:00:00"/>
    <n v="333"/>
    <n v="5.55"/>
    <m/>
    <m/>
    <x v="3"/>
    <x v="1"/>
  </r>
  <r>
    <n v="3977333714"/>
    <d v="2016-04-30T00:00:00"/>
    <n v="237"/>
    <n v="3.95"/>
    <m/>
    <m/>
    <x v="3"/>
    <x v="1"/>
  </r>
  <r>
    <n v="3977333714"/>
    <d v="2016-05-01T00:00:00"/>
    <n v="383"/>
    <n v="6.3833333333333337"/>
    <m/>
    <m/>
    <x v="3"/>
    <x v="1"/>
  </r>
  <r>
    <n v="3977333714"/>
    <d v="2016-05-02T00:00:00"/>
    <n v="230"/>
    <n v="3.8333333333333335"/>
    <m/>
    <m/>
    <x v="3"/>
    <x v="1"/>
  </r>
  <r>
    <n v="3977333714"/>
    <d v="2016-05-03T00:00:00"/>
    <n v="292"/>
    <n v="4.8666666666666663"/>
    <m/>
    <m/>
    <x v="3"/>
    <x v="1"/>
  </r>
  <r>
    <n v="3977333714"/>
    <d v="2016-05-04T00:00:00"/>
    <n v="213"/>
    <n v="3.55"/>
    <m/>
    <m/>
    <x v="3"/>
    <x v="1"/>
  </r>
  <r>
    <n v="3977333714"/>
    <d v="2016-05-05T00:00:00"/>
    <n v="318"/>
    <n v="5.3"/>
    <m/>
    <m/>
    <x v="3"/>
    <x v="1"/>
  </r>
  <r>
    <n v="3977333714"/>
    <d v="2016-05-06T00:00:00"/>
    <n v="323"/>
    <n v="5.3833333333333337"/>
    <m/>
    <m/>
    <x v="3"/>
    <x v="1"/>
  </r>
  <r>
    <n v="3977333714"/>
    <d v="2016-05-07T00:00:00"/>
    <n v="237"/>
    <n v="3.95"/>
    <m/>
    <m/>
    <x v="3"/>
    <x v="1"/>
  </r>
  <r>
    <n v="3977333714"/>
    <d v="2016-05-08T00:00:00"/>
    <n v="259"/>
    <n v="4.3166666666666664"/>
    <m/>
    <m/>
    <x v="3"/>
    <x v="1"/>
  </r>
  <r>
    <n v="3977333714"/>
    <d v="2016-05-10T00:00:00"/>
    <n v="312"/>
    <n v="5.2"/>
    <m/>
    <m/>
    <x v="3"/>
    <x v="1"/>
  </r>
  <r>
    <n v="4020332650"/>
    <d v="2016-04-12T00:00:00"/>
    <n v="501"/>
    <n v="8.35"/>
    <m/>
    <m/>
    <x v="3"/>
    <x v="1"/>
  </r>
  <r>
    <n v="4020332650"/>
    <d v="2016-04-16T00:00:00"/>
    <n v="77"/>
    <n v="1.2833333333333334"/>
    <m/>
    <m/>
    <x v="3"/>
    <x v="1"/>
  </r>
  <r>
    <n v="4020332650"/>
    <d v="2016-05-03T00:00:00"/>
    <n v="322"/>
    <n v="5.3666666666666663"/>
    <m/>
    <m/>
    <x v="3"/>
    <x v="1"/>
  </r>
  <r>
    <n v="4020332650"/>
    <d v="2016-05-04T00:00:00"/>
    <n v="478"/>
    <n v="7.9666666666666668"/>
    <m/>
    <m/>
    <x v="3"/>
    <x v="1"/>
  </r>
  <r>
    <n v="4020332650"/>
    <d v="2016-05-05T00:00:00"/>
    <n v="226"/>
    <n v="3.7666666666666666"/>
    <m/>
    <m/>
    <x v="3"/>
    <x v="1"/>
  </r>
  <r>
    <n v="4020332650"/>
    <d v="2016-05-06T00:00:00"/>
    <n v="385"/>
    <n v="6.416666666666667"/>
    <m/>
    <m/>
    <x v="3"/>
    <x v="1"/>
  </r>
  <r>
    <n v="4020332650"/>
    <d v="2016-05-08T00:00:00"/>
    <n v="364"/>
    <n v="6.0666666666666664"/>
    <m/>
    <m/>
    <x v="3"/>
    <x v="1"/>
  </r>
  <r>
    <n v="4020332650"/>
    <d v="2016-05-10T00:00:00"/>
    <n v="442"/>
    <n v="7.3666666666666663"/>
    <m/>
    <m/>
    <x v="3"/>
    <x v="1"/>
  </r>
  <r>
    <n v="4319703577"/>
    <d v="2016-04-14T00:00:00"/>
    <n v="535"/>
    <n v="8.9166666666666661"/>
    <m/>
    <m/>
    <x v="3"/>
    <x v="1"/>
  </r>
  <r>
    <n v="4319703577"/>
    <d v="2016-04-15T00:00:00"/>
    <n v="465"/>
    <n v="7.75"/>
    <m/>
    <m/>
    <x v="3"/>
    <x v="1"/>
  </r>
  <r>
    <n v="4319703577"/>
    <d v="2016-04-16T00:00:00"/>
    <n v="506"/>
    <n v="8.4333333333333336"/>
    <m/>
    <m/>
    <x v="3"/>
    <x v="1"/>
  </r>
  <r>
    <n v="4319703577"/>
    <d v="2016-04-18T00:00:00"/>
    <n v="515"/>
    <n v="8.5833333333333339"/>
    <m/>
    <m/>
    <x v="3"/>
    <x v="1"/>
  </r>
  <r>
    <n v="4319703577"/>
    <d v="2016-04-19T00:00:00"/>
    <n v="461"/>
    <n v="7.6833333333333336"/>
    <m/>
    <m/>
    <x v="3"/>
    <x v="1"/>
  </r>
  <r>
    <n v="4319703577"/>
    <d v="2016-04-20T00:00:00"/>
    <n v="523"/>
    <n v="8.7166666666666668"/>
    <m/>
    <m/>
    <x v="3"/>
    <x v="1"/>
  </r>
  <r>
    <n v="4319703577"/>
    <d v="2016-04-21T00:00:00"/>
    <n v="59"/>
    <n v="0.98333333333333328"/>
    <m/>
    <m/>
    <x v="3"/>
    <x v="1"/>
  </r>
  <r>
    <n v="4319703577"/>
    <d v="2016-04-22T00:00:00"/>
    <n v="533"/>
    <n v="8.8833333333333329"/>
    <m/>
    <m/>
    <x v="3"/>
    <x v="1"/>
  </r>
  <r>
    <n v="4319703577"/>
    <d v="2016-04-23T00:00:00"/>
    <n v="692"/>
    <n v="11.533333333333333"/>
    <m/>
    <m/>
    <x v="3"/>
    <x v="1"/>
  </r>
  <r>
    <n v="4319703577"/>
    <d v="2016-04-24T00:00:00"/>
    <n v="467"/>
    <n v="7.7833333333333332"/>
    <m/>
    <m/>
    <x v="3"/>
    <x v="1"/>
  </r>
  <r>
    <n v="4319703577"/>
    <d v="2016-04-25T00:00:00"/>
    <n v="488"/>
    <n v="8.1333333333333329"/>
    <m/>
    <m/>
    <x v="3"/>
    <x v="1"/>
  </r>
  <r>
    <n v="4319703577"/>
    <d v="2016-04-26T00:00:00"/>
    <n v="505"/>
    <n v="8.4166666666666661"/>
    <m/>
    <m/>
    <x v="3"/>
    <x v="1"/>
  </r>
  <r>
    <n v="4319703577"/>
    <d v="2016-04-27T00:00:00"/>
    <n v="286"/>
    <n v="4.7666666666666666"/>
    <m/>
    <m/>
    <x v="3"/>
    <x v="1"/>
  </r>
  <r>
    <n v="4319703577"/>
    <d v="2016-04-28T00:00:00"/>
    <n v="497"/>
    <n v="8.2833333333333332"/>
    <m/>
    <m/>
    <x v="3"/>
    <x v="1"/>
  </r>
  <r>
    <n v="4319703577"/>
    <d v="2016-04-29T00:00:00"/>
    <n v="523"/>
    <n v="8.7166666666666668"/>
    <m/>
    <m/>
    <x v="3"/>
    <x v="1"/>
  </r>
  <r>
    <n v="4319703577"/>
    <d v="2016-04-30T00:00:00"/>
    <n v="490"/>
    <n v="8.1666666666666661"/>
    <m/>
    <m/>
    <x v="3"/>
    <x v="1"/>
  </r>
  <r>
    <n v="4319703577"/>
    <d v="2016-05-01T00:00:00"/>
    <n v="484"/>
    <n v="8.0666666666666664"/>
    <m/>
    <m/>
    <x v="3"/>
    <x v="1"/>
  </r>
  <r>
    <n v="4319703577"/>
    <d v="2016-05-02T00:00:00"/>
    <n v="478"/>
    <n v="7.9666666666666668"/>
    <m/>
    <m/>
    <x v="3"/>
    <x v="1"/>
  </r>
  <r>
    <n v="4319703577"/>
    <d v="2016-05-03T00:00:00"/>
    <n v="474"/>
    <n v="7.9"/>
    <m/>
    <m/>
    <x v="3"/>
    <x v="1"/>
  </r>
  <r>
    <n v="4319703577"/>
    <d v="2016-05-06T00:00:00"/>
    <n v="450"/>
    <n v="7.5"/>
    <m/>
    <m/>
    <x v="3"/>
    <x v="1"/>
  </r>
  <r>
    <n v="4319703577"/>
    <d v="2016-05-07T00:00:00"/>
    <n v="507"/>
    <n v="8.4499999999999993"/>
    <m/>
    <m/>
    <x v="3"/>
    <x v="1"/>
  </r>
  <r>
    <n v="4319703577"/>
    <d v="2016-05-08T00:00:00"/>
    <n v="602"/>
    <n v="10.033333333333333"/>
    <m/>
    <m/>
    <x v="3"/>
    <x v="1"/>
  </r>
  <r>
    <n v="4319703577"/>
    <d v="2016-05-09T00:00:00"/>
    <n v="535"/>
    <n v="8.9166666666666661"/>
    <m/>
    <m/>
    <x v="3"/>
    <x v="1"/>
  </r>
  <r>
    <n v="4319703577"/>
    <d v="2016-05-10T00:00:00"/>
    <n v="487"/>
    <n v="8.1166666666666671"/>
    <m/>
    <m/>
    <x v="3"/>
    <x v="1"/>
  </r>
  <r>
    <n v="4319703577"/>
    <d v="2016-05-11T00:00:00"/>
    <n v="529"/>
    <n v="8.8166666666666664"/>
    <m/>
    <m/>
    <x v="3"/>
    <x v="1"/>
  </r>
  <r>
    <n v="4319703577"/>
    <d v="2016-05-12T00:00:00"/>
    <n v="302"/>
    <n v="5.0333333333333332"/>
    <m/>
    <m/>
    <x v="3"/>
    <x v="1"/>
  </r>
  <r>
    <n v="4388161847"/>
    <d v="2016-04-15T00:00:00"/>
    <n v="499"/>
    <n v="8.3166666666666664"/>
    <m/>
    <m/>
    <x v="3"/>
    <x v="1"/>
  </r>
  <r>
    <n v="4388161847"/>
    <d v="2016-04-16T00:00:00"/>
    <n v="426"/>
    <n v="7.1"/>
    <m/>
    <m/>
    <x v="3"/>
    <x v="1"/>
  </r>
  <r>
    <n v="4388161847"/>
    <d v="2016-04-17T00:00:00"/>
    <n v="619"/>
    <n v="10.316666666666666"/>
    <m/>
    <m/>
    <x v="3"/>
    <x v="1"/>
  </r>
  <r>
    <n v="4388161847"/>
    <d v="2016-04-18T00:00:00"/>
    <n v="99"/>
    <n v="1.65"/>
    <m/>
    <m/>
    <x v="3"/>
    <x v="1"/>
  </r>
  <r>
    <n v="4388161847"/>
    <d v="2016-04-19T00:00:00"/>
    <n v="329"/>
    <n v="5.4833333333333334"/>
    <m/>
    <m/>
    <x v="3"/>
    <x v="1"/>
  </r>
  <r>
    <n v="4388161847"/>
    <d v="2016-04-20T00:00:00"/>
    <n v="421"/>
    <n v="7.0166666666666666"/>
    <m/>
    <m/>
    <x v="3"/>
    <x v="1"/>
  </r>
  <r>
    <n v="4388161847"/>
    <d v="2016-04-21T00:00:00"/>
    <n v="442"/>
    <n v="7.3666666666666663"/>
    <m/>
    <m/>
    <x v="3"/>
    <x v="1"/>
  </r>
  <r>
    <n v="4388161847"/>
    <d v="2016-04-22T00:00:00"/>
    <n v="82"/>
    <n v="1.3666666666666667"/>
    <m/>
    <m/>
    <x v="3"/>
    <x v="1"/>
  </r>
  <r>
    <n v="4388161847"/>
    <d v="2016-04-23T00:00:00"/>
    <n v="478"/>
    <n v="7.9666666666666668"/>
    <m/>
    <m/>
    <x v="3"/>
    <x v="1"/>
  </r>
  <r>
    <n v="4388161847"/>
    <d v="2016-04-24T00:00:00"/>
    <n v="552"/>
    <n v="9.1999999999999993"/>
    <m/>
    <m/>
    <x v="3"/>
    <x v="1"/>
  </r>
  <r>
    <n v="4388161847"/>
    <d v="2016-04-26T00:00:00"/>
    <n v="319"/>
    <n v="5.3166666666666664"/>
    <m/>
    <m/>
    <x v="3"/>
    <x v="1"/>
  </r>
  <r>
    <n v="4388161847"/>
    <d v="2016-04-27T00:00:00"/>
    <n v="439"/>
    <n v="7.3166666666666664"/>
    <m/>
    <m/>
    <x v="3"/>
    <x v="1"/>
  </r>
  <r>
    <n v="4388161847"/>
    <d v="2016-04-28T00:00:00"/>
    <n v="428"/>
    <n v="7.1333333333333337"/>
    <m/>
    <m/>
    <x v="3"/>
    <x v="1"/>
  </r>
  <r>
    <n v="4388161847"/>
    <d v="2016-04-30T00:00:00"/>
    <n v="409"/>
    <n v="6.8166666666666664"/>
    <m/>
    <m/>
    <x v="3"/>
    <x v="1"/>
  </r>
  <r>
    <n v="4388161847"/>
    <d v="2016-05-01T00:00:00"/>
    <n v="547"/>
    <n v="9.1166666666666671"/>
    <m/>
    <m/>
    <x v="3"/>
    <x v="1"/>
  </r>
  <r>
    <n v="4388161847"/>
    <d v="2016-05-02T00:00:00"/>
    <n v="368"/>
    <n v="6.1333333333333337"/>
    <m/>
    <m/>
    <x v="3"/>
    <x v="1"/>
  </r>
  <r>
    <n v="4388161847"/>
    <d v="2016-05-04T00:00:00"/>
    <n v="390"/>
    <n v="6.5"/>
    <m/>
    <m/>
    <x v="3"/>
    <x v="1"/>
  </r>
  <r>
    <n v="4388161847"/>
    <d v="2016-05-05T00:00:00"/>
    <n v="471"/>
    <n v="7.85"/>
    <m/>
    <m/>
    <x v="3"/>
    <x v="1"/>
  </r>
  <r>
    <n v="4388161847"/>
    <d v="2016-05-05T00:00:00"/>
    <n v="471"/>
    <n v="7.85"/>
    <m/>
    <m/>
    <x v="3"/>
    <x v="1"/>
  </r>
  <r>
    <n v="4388161847"/>
    <d v="2016-05-07T00:00:00"/>
    <n v="472"/>
    <n v="7.8666666666666663"/>
    <m/>
    <m/>
    <x v="3"/>
    <x v="1"/>
  </r>
  <r>
    <n v="4388161847"/>
    <d v="2016-05-08T00:00:00"/>
    <n v="529"/>
    <n v="8.8166666666666664"/>
    <m/>
    <m/>
    <x v="3"/>
    <x v="1"/>
  </r>
  <r>
    <n v="4388161847"/>
    <d v="2016-05-09T00:00:00"/>
    <n v="62"/>
    <n v="1.0333333333333334"/>
    <m/>
    <m/>
    <x v="3"/>
    <x v="1"/>
  </r>
  <r>
    <n v="4388161847"/>
    <d v="2016-05-10T00:00:00"/>
    <n v="354"/>
    <n v="5.9"/>
    <m/>
    <m/>
    <x v="3"/>
    <x v="1"/>
  </r>
  <r>
    <n v="4388161847"/>
    <d v="2016-05-11T00:00:00"/>
    <n v="469"/>
    <n v="7.8166666666666664"/>
    <m/>
    <m/>
    <x v="3"/>
    <x v="1"/>
  </r>
  <r>
    <n v="4445114986"/>
    <d v="2016-04-12T00:00:00"/>
    <n v="429"/>
    <n v="7.15"/>
    <m/>
    <m/>
    <x v="3"/>
    <x v="1"/>
  </r>
  <r>
    <n v="4445114986"/>
    <d v="2016-04-13T00:00:00"/>
    <n v="370"/>
    <n v="6.166666666666667"/>
    <m/>
    <m/>
    <x v="3"/>
    <x v="1"/>
  </r>
  <r>
    <n v="4445114986"/>
    <d v="2016-04-14T00:00:00"/>
    <n v="441"/>
    <n v="7.35"/>
    <m/>
    <m/>
    <x v="3"/>
    <x v="1"/>
  </r>
  <r>
    <n v="4445114986"/>
    <d v="2016-04-15T00:00:00"/>
    <n v="337"/>
    <n v="5.6166666666666663"/>
    <m/>
    <m/>
    <x v="3"/>
    <x v="1"/>
  </r>
  <r>
    <n v="4445114986"/>
    <d v="2016-04-16T00:00:00"/>
    <n v="462"/>
    <n v="7.7"/>
    <m/>
    <m/>
    <x v="3"/>
    <x v="1"/>
  </r>
  <r>
    <n v="4445114986"/>
    <d v="2016-04-17T00:00:00"/>
    <n v="98"/>
    <n v="1.6333333333333333"/>
    <m/>
    <m/>
    <x v="3"/>
    <x v="1"/>
  </r>
  <r>
    <n v="4445114986"/>
    <d v="2016-04-19T00:00:00"/>
    <n v="388"/>
    <n v="6.4666666666666668"/>
    <m/>
    <m/>
    <x v="3"/>
    <x v="1"/>
  </r>
  <r>
    <n v="4445114986"/>
    <d v="2016-04-20T00:00:00"/>
    <n v="439"/>
    <n v="7.3166666666666664"/>
    <m/>
    <m/>
    <x v="3"/>
    <x v="1"/>
  </r>
  <r>
    <n v="4445114986"/>
    <d v="2016-04-21T00:00:00"/>
    <n v="436"/>
    <n v="7.2666666666666666"/>
    <m/>
    <m/>
    <x v="3"/>
    <x v="1"/>
  </r>
  <r>
    <n v="4445114986"/>
    <d v="2016-04-22T00:00:00"/>
    <n v="388"/>
    <n v="6.4666666666666668"/>
    <m/>
    <m/>
    <x v="3"/>
    <x v="1"/>
  </r>
  <r>
    <n v="4445114986"/>
    <d v="2016-04-25T00:00:00"/>
    <n v="328"/>
    <n v="5.4666666666666668"/>
    <m/>
    <m/>
    <x v="3"/>
    <x v="1"/>
  </r>
  <r>
    <n v="4445114986"/>
    <d v="2016-04-26T00:00:00"/>
    <n v="353"/>
    <n v="5.8833333333333337"/>
    <m/>
    <m/>
    <x v="3"/>
    <x v="1"/>
  </r>
  <r>
    <n v="4445114986"/>
    <d v="2016-04-27T00:00:00"/>
    <n v="332"/>
    <n v="5.5333333333333332"/>
    <m/>
    <m/>
    <x v="3"/>
    <x v="1"/>
  </r>
  <r>
    <n v="4445114986"/>
    <d v="2016-04-28T00:00:00"/>
    <n v="419"/>
    <n v="6.9833333333333334"/>
    <m/>
    <m/>
    <x v="3"/>
    <x v="1"/>
  </r>
  <r>
    <n v="4445114986"/>
    <d v="2016-04-29T00:00:00"/>
    <n v="106"/>
    <n v="1.7666666666666666"/>
    <m/>
    <m/>
    <x v="3"/>
    <x v="1"/>
  </r>
  <r>
    <n v="4445114986"/>
    <d v="2016-04-30T00:00:00"/>
    <n v="322"/>
    <n v="5.3666666666666663"/>
    <m/>
    <m/>
    <x v="3"/>
    <x v="1"/>
  </r>
  <r>
    <n v="4445114986"/>
    <d v="2016-05-01T00:00:00"/>
    <n v="439"/>
    <n v="7.3166666666666664"/>
    <m/>
    <m/>
    <x v="3"/>
    <x v="1"/>
  </r>
  <r>
    <n v="4445114986"/>
    <d v="2016-05-02T00:00:00"/>
    <n v="502"/>
    <n v="8.3666666666666671"/>
    <m/>
    <m/>
    <x v="3"/>
    <x v="1"/>
  </r>
  <r>
    <n v="4445114986"/>
    <d v="2016-05-03T00:00:00"/>
    <n v="417"/>
    <n v="6.95"/>
    <m/>
    <m/>
    <x v="3"/>
    <x v="1"/>
  </r>
  <r>
    <n v="4445114986"/>
    <d v="2016-05-04T00:00:00"/>
    <n v="337"/>
    <n v="5.6166666666666663"/>
    <m/>
    <m/>
    <x v="3"/>
    <x v="1"/>
  </r>
  <r>
    <n v="4445114986"/>
    <d v="2016-05-05T00:00:00"/>
    <n v="462"/>
    <n v="7.7"/>
    <m/>
    <m/>
    <x v="3"/>
    <x v="1"/>
  </r>
  <r>
    <n v="4445114986"/>
    <d v="2016-05-06T00:00:00"/>
    <n v="374"/>
    <n v="6.2333333333333334"/>
    <m/>
    <m/>
    <x v="3"/>
    <x v="1"/>
  </r>
  <r>
    <n v="4445114986"/>
    <d v="2016-05-07T00:00:00"/>
    <n v="401"/>
    <n v="6.6833333333333336"/>
    <m/>
    <m/>
    <x v="3"/>
    <x v="1"/>
  </r>
  <r>
    <n v="4445114986"/>
    <d v="2016-05-08T00:00:00"/>
    <n v="361"/>
    <n v="6.0166666666666666"/>
    <m/>
    <m/>
    <x v="3"/>
    <x v="1"/>
  </r>
  <r>
    <n v="4445114986"/>
    <d v="2016-05-09T00:00:00"/>
    <n v="457"/>
    <n v="7.6166666666666663"/>
    <m/>
    <m/>
    <x v="3"/>
    <x v="1"/>
  </r>
  <r>
    <n v="4445114986"/>
    <d v="2016-05-10T00:00:00"/>
    <n v="405"/>
    <n v="6.75"/>
    <m/>
    <m/>
    <x v="3"/>
    <x v="1"/>
  </r>
  <r>
    <n v="4445114986"/>
    <d v="2016-05-11T00:00:00"/>
    <n v="499"/>
    <n v="8.3166666666666664"/>
    <m/>
    <m/>
    <x v="3"/>
    <x v="1"/>
  </r>
  <r>
    <n v="4445114986"/>
    <d v="2016-05-12T00:00:00"/>
    <n v="483"/>
    <n v="8.0500000000000007"/>
    <m/>
    <m/>
    <x v="3"/>
    <x v="1"/>
  </r>
  <r>
    <n v="4558609924"/>
    <d v="2016-04-21T00:00:00"/>
    <n v="126"/>
    <n v="2.1"/>
    <m/>
    <m/>
    <x v="3"/>
    <x v="1"/>
  </r>
  <r>
    <n v="4558609924"/>
    <d v="2016-04-26T00:00:00"/>
    <n v="103"/>
    <n v="1.7166666666666666"/>
    <m/>
    <m/>
    <x v="3"/>
    <x v="1"/>
  </r>
  <r>
    <n v="4558609924"/>
    <d v="2016-04-29T00:00:00"/>
    <n v="171"/>
    <n v="2.85"/>
    <m/>
    <m/>
    <x v="3"/>
    <x v="1"/>
  </r>
  <r>
    <n v="4558609924"/>
    <d v="2016-05-01T00:00:00"/>
    <n v="115"/>
    <n v="1.9166666666666667"/>
    <m/>
    <m/>
    <x v="3"/>
    <x v="1"/>
  </r>
  <r>
    <n v="4558609924"/>
    <d v="2016-05-08T00:00:00"/>
    <n v="123"/>
    <n v="2.0499999999999998"/>
    <m/>
    <m/>
    <x v="3"/>
    <x v="1"/>
  </r>
  <r>
    <n v="4702921684"/>
    <d v="2016-04-12T00:00:00"/>
    <n v="425"/>
    <n v="7.083333333333333"/>
    <m/>
    <m/>
    <x v="3"/>
    <x v="1"/>
  </r>
  <r>
    <n v="4702921684"/>
    <d v="2016-04-13T00:00:00"/>
    <n v="400"/>
    <n v="6.666666666666667"/>
    <m/>
    <m/>
    <x v="3"/>
    <x v="1"/>
  </r>
  <r>
    <n v="4702921684"/>
    <d v="2016-04-14T00:00:00"/>
    <n v="384"/>
    <n v="6.4"/>
    <m/>
    <m/>
    <x v="3"/>
    <x v="1"/>
  </r>
  <r>
    <n v="4702921684"/>
    <d v="2016-04-15T00:00:00"/>
    <n v="253"/>
    <n v="4.2166666666666668"/>
    <m/>
    <m/>
    <x v="3"/>
    <x v="1"/>
  </r>
  <r>
    <n v="4702921684"/>
    <d v="2016-04-16T00:00:00"/>
    <n v="382"/>
    <n v="6.3666666666666663"/>
    <m/>
    <m/>
    <x v="3"/>
    <x v="1"/>
  </r>
  <r>
    <n v="4702921684"/>
    <d v="2016-04-17T00:00:00"/>
    <n v="591"/>
    <n v="9.85"/>
    <m/>
    <m/>
    <x v="3"/>
    <x v="1"/>
  </r>
  <r>
    <n v="4702921684"/>
    <d v="2016-04-18T00:00:00"/>
    <n v="293"/>
    <n v="4.8833333333333337"/>
    <m/>
    <m/>
    <x v="3"/>
    <x v="1"/>
  </r>
  <r>
    <n v="4702921684"/>
    <d v="2016-04-19T00:00:00"/>
    <n v="457"/>
    <n v="7.6166666666666663"/>
    <m/>
    <m/>
    <x v="3"/>
    <x v="1"/>
  </r>
  <r>
    <n v="4702921684"/>
    <d v="2016-04-20T00:00:00"/>
    <n v="454"/>
    <n v="7.5666666666666664"/>
    <m/>
    <m/>
    <x v="3"/>
    <x v="1"/>
  </r>
  <r>
    <n v="4702921684"/>
    <d v="2016-04-21T00:00:00"/>
    <n v="425"/>
    <n v="7.083333333333333"/>
    <m/>
    <m/>
    <x v="3"/>
    <x v="1"/>
  </r>
  <r>
    <n v="4702921684"/>
    <d v="2016-04-23T00:00:00"/>
    <n v="465"/>
    <n v="7.75"/>
    <m/>
    <m/>
    <x v="3"/>
    <x v="1"/>
  </r>
  <r>
    <n v="4702921684"/>
    <d v="2016-04-24T00:00:00"/>
    <n v="480"/>
    <n v="8"/>
    <m/>
    <m/>
    <x v="3"/>
    <x v="1"/>
  </r>
  <r>
    <n v="4702921684"/>
    <d v="2016-04-25T00:00:00"/>
    <n v="370"/>
    <n v="6.166666666666667"/>
    <m/>
    <m/>
    <x v="3"/>
    <x v="1"/>
  </r>
  <r>
    <n v="4702921684"/>
    <d v="2016-04-26T00:00:00"/>
    <n v="421"/>
    <n v="7.0166666666666666"/>
    <m/>
    <m/>
    <x v="3"/>
    <x v="1"/>
  </r>
  <r>
    <n v="4702921684"/>
    <d v="2016-04-27T00:00:00"/>
    <n v="432"/>
    <n v="7.2"/>
    <m/>
    <m/>
    <x v="3"/>
    <x v="1"/>
  </r>
  <r>
    <n v="4702921684"/>
    <d v="2016-04-28T00:00:00"/>
    <n v="442"/>
    <n v="7.3666666666666663"/>
    <m/>
    <m/>
    <x v="3"/>
    <x v="1"/>
  </r>
  <r>
    <n v="4702921684"/>
    <d v="2016-04-29T00:00:00"/>
    <n v="433"/>
    <n v="7.2166666666666668"/>
    <m/>
    <m/>
    <x v="3"/>
    <x v="1"/>
  </r>
  <r>
    <n v="4702921684"/>
    <d v="2016-04-30T00:00:00"/>
    <n v="479"/>
    <n v="7.9833333333333334"/>
    <m/>
    <m/>
    <x v="3"/>
    <x v="1"/>
  </r>
  <r>
    <n v="4702921684"/>
    <d v="2016-05-03T00:00:00"/>
    <n v="327"/>
    <n v="5.45"/>
    <m/>
    <m/>
    <x v="3"/>
    <x v="1"/>
  </r>
  <r>
    <n v="4702921684"/>
    <d v="2016-05-04T00:00:00"/>
    <n v="412"/>
    <n v="6.8666666666666663"/>
    <m/>
    <m/>
    <x v="3"/>
    <x v="1"/>
  </r>
  <r>
    <n v="4702921684"/>
    <d v="2016-05-05T00:00:00"/>
    <n v="414"/>
    <n v="6.9"/>
    <m/>
    <m/>
    <x v="3"/>
    <x v="1"/>
  </r>
  <r>
    <n v="4702921684"/>
    <d v="2016-05-06T00:00:00"/>
    <n v="404"/>
    <n v="6.7333333333333334"/>
    <m/>
    <m/>
    <x v="3"/>
    <x v="1"/>
  </r>
  <r>
    <n v="4702921684"/>
    <d v="2016-05-07T00:00:00"/>
    <n v="520"/>
    <n v="8.6666666666666661"/>
    <m/>
    <m/>
    <x v="3"/>
    <x v="1"/>
  </r>
  <r>
    <n v="4702921684"/>
    <d v="2016-05-07T00:00:00"/>
    <n v="520"/>
    <n v="8.6666666666666661"/>
    <m/>
    <m/>
    <x v="3"/>
    <x v="1"/>
  </r>
  <r>
    <n v="4702921684"/>
    <d v="2016-05-09T00:00:00"/>
    <n v="435"/>
    <n v="7.25"/>
    <m/>
    <m/>
    <x v="3"/>
    <x v="1"/>
  </r>
  <r>
    <n v="4702921684"/>
    <d v="2016-05-10T00:00:00"/>
    <n v="416"/>
    <n v="6.9333333333333336"/>
    <m/>
    <m/>
    <x v="3"/>
    <x v="1"/>
  </r>
  <r>
    <n v="4702921684"/>
    <d v="2016-05-11T00:00:00"/>
    <n v="354"/>
    <n v="5.9"/>
    <m/>
    <m/>
    <x v="3"/>
    <x v="1"/>
  </r>
  <r>
    <n v="4702921684"/>
    <d v="2016-05-12T00:00:00"/>
    <n v="404"/>
    <n v="6.7333333333333334"/>
    <m/>
    <m/>
    <x v="3"/>
    <x v="1"/>
  </r>
  <r>
    <n v="5553957443"/>
    <d v="2016-04-12T00:00:00"/>
    <n v="441"/>
    <n v="7.35"/>
    <m/>
    <m/>
    <x v="3"/>
    <x v="1"/>
  </r>
  <r>
    <n v="5553957443"/>
    <d v="2016-04-13T00:00:00"/>
    <n v="455"/>
    <n v="7.583333333333333"/>
    <m/>
    <m/>
    <x v="3"/>
    <x v="1"/>
  </r>
  <r>
    <n v="5553957443"/>
    <d v="2016-04-14T00:00:00"/>
    <n v="357"/>
    <n v="5.95"/>
    <m/>
    <m/>
    <x v="3"/>
    <x v="1"/>
  </r>
  <r>
    <n v="5553957443"/>
    <d v="2016-04-15T00:00:00"/>
    <n v="377"/>
    <n v="6.2833333333333332"/>
    <m/>
    <m/>
    <x v="3"/>
    <x v="1"/>
  </r>
  <r>
    <n v="5553957443"/>
    <d v="2016-04-16T00:00:00"/>
    <n v="651"/>
    <n v="10.85"/>
    <m/>
    <m/>
    <x v="3"/>
    <x v="1"/>
  </r>
  <r>
    <n v="5553957443"/>
    <d v="2016-04-17T00:00:00"/>
    <n v="350"/>
    <n v="5.833333333333333"/>
    <m/>
    <m/>
    <x v="3"/>
    <x v="1"/>
  </r>
  <r>
    <n v="5553957443"/>
    <d v="2016-04-18T00:00:00"/>
    <n v="520"/>
    <n v="8.6666666666666661"/>
    <m/>
    <m/>
    <x v="3"/>
    <x v="1"/>
  </r>
  <r>
    <n v="5553957443"/>
    <d v="2016-04-19T00:00:00"/>
    <n v="357"/>
    <n v="5.95"/>
    <m/>
    <m/>
    <x v="3"/>
    <x v="1"/>
  </r>
  <r>
    <n v="5553957443"/>
    <d v="2016-04-20T00:00:00"/>
    <n v="658"/>
    <n v="10.966666666666667"/>
    <m/>
    <m/>
    <x v="3"/>
    <x v="1"/>
  </r>
  <r>
    <n v="5553957443"/>
    <d v="2016-04-21T00:00:00"/>
    <n v="399"/>
    <n v="6.65"/>
    <m/>
    <m/>
    <x v="3"/>
    <x v="1"/>
  </r>
  <r>
    <n v="5553957443"/>
    <d v="2016-04-22T00:00:00"/>
    <n v="322"/>
    <n v="5.3666666666666663"/>
    <m/>
    <m/>
    <x v="3"/>
    <x v="1"/>
  </r>
  <r>
    <n v="5553957443"/>
    <d v="2016-04-23T00:00:00"/>
    <n v="631"/>
    <n v="10.516666666666667"/>
    <m/>
    <m/>
    <x v="3"/>
    <x v="1"/>
  </r>
  <r>
    <n v="5553957443"/>
    <d v="2016-04-24T00:00:00"/>
    <n v="553"/>
    <n v="9.2166666666666668"/>
    <m/>
    <m/>
    <x v="3"/>
    <x v="1"/>
  </r>
  <r>
    <n v="5553957443"/>
    <d v="2016-04-25T00:00:00"/>
    <n v="433"/>
    <n v="7.2166666666666668"/>
    <m/>
    <m/>
    <x v="3"/>
    <x v="1"/>
  </r>
  <r>
    <n v="5553957443"/>
    <d v="2016-04-26T00:00:00"/>
    <n v="412"/>
    <n v="6.8666666666666663"/>
    <m/>
    <m/>
    <x v="3"/>
    <x v="1"/>
  </r>
  <r>
    <n v="5553957443"/>
    <d v="2016-04-27T00:00:00"/>
    <n v="347"/>
    <n v="5.7833333333333332"/>
    <m/>
    <m/>
    <x v="3"/>
    <x v="1"/>
  </r>
  <r>
    <n v="5553957443"/>
    <d v="2016-04-28T00:00:00"/>
    <n v="421"/>
    <n v="7.0166666666666666"/>
    <m/>
    <m/>
    <x v="3"/>
    <x v="1"/>
  </r>
  <r>
    <n v="5553957443"/>
    <d v="2016-04-29T00:00:00"/>
    <n v="450"/>
    <n v="7.5"/>
    <m/>
    <m/>
    <x v="3"/>
    <x v="1"/>
  </r>
  <r>
    <n v="5553957443"/>
    <d v="2016-04-30T00:00:00"/>
    <n v="775"/>
    <n v="12.916666666666666"/>
    <m/>
    <m/>
    <x v="3"/>
    <x v="1"/>
  </r>
  <r>
    <n v="5553957443"/>
    <d v="2016-05-01T00:00:00"/>
    <n v="622"/>
    <n v="10.366666666666667"/>
    <m/>
    <m/>
    <x v="3"/>
    <x v="1"/>
  </r>
  <r>
    <n v="5553957443"/>
    <d v="2016-05-02T00:00:00"/>
    <n v="409"/>
    <n v="6.8166666666666664"/>
    <m/>
    <m/>
    <x v="3"/>
    <x v="1"/>
  </r>
  <r>
    <n v="5553957443"/>
    <d v="2016-05-03T00:00:00"/>
    <n v="380"/>
    <n v="6.333333333333333"/>
    <m/>
    <m/>
    <x v="3"/>
    <x v="1"/>
  </r>
  <r>
    <n v="5553957443"/>
    <d v="2016-05-04T00:00:00"/>
    <n v="447"/>
    <n v="7.45"/>
    <m/>
    <m/>
    <x v="3"/>
    <x v="1"/>
  </r>
  <r>
    <n v="5553957443"/>
    <d v="2016-05-05T00:00:00"/>
    <n v="419"/>
    <n v="6.9833333333333334"/>
    <m/>
    <m/>
    <x v="3"/>
    <x v="1"/>
  </r>
  <r>
    <n v="5553957443"/>
    <d v="2016-05-06T00:00:00"/>
    <n v="400"/>
    <n v="6.666666666666667"/>
    <m/>
    <m/>
    <x v="3"/>
    <x v="1"/>
  </r>
  <r>
    <n v="5553957443"/>
    <d v="2016-05-07T00:00:00"/>
    <n v="442"/>
    <n v="7.3666666666666663"/>
    <m/>
    <m/>
    <x v="3"/>
    <x v="1"/>
  </r>
  <r>
    <n v="5553957443"/>
    <d v="2016-05-08T00:00:00"/>
    <n v="568"/>
    <n v="9.4666666666666668"/>
    <m/>
    <m/>
    <x v="3"/>
    <x v="1"/>
  </r>
  <r>
    <n v="5553957443"/>
    <d v="2016-05-09T00:00:00"/>
    <n v="453"/>
    <n v="7.55"/>
    <m/>
    <m/>
    <x v="3"/>
    <x v="1"/>
  </r>
  <r>
    <n v="5553957443"/>
    <d v="2016-05-10T00:00:00"/>
    <n v="418"/>
    <n v="6.9666666666666668"/>
    <m/>
    <m/>
    <x v="3"/>
    <x v="1"/>
  </r>
  <r>
    <n v="5553957443"/>
    <d v="2016-05-11T00:00:00"/>
    <n v="463"/>
    <n v="7.7166666666666668"/>
    <m/>
    <m/>
    <x v="3"/>
    <x v="1"/>
  </r>
  <r>
    <n v="5553957443"/>
    <d v="2016-05-12T00:00:00"/>
    <n v="438"/>
    <n v="7.3"/>
    <m/>
    <m/>
    <x v="3"/>
    <x v="1"/>
  </r>
  <r>
    <n v="5577150313"/>
    <d v="2016-04-12T00:00:00"/>
    <n v="419"/>
    <n v="6.9833333333333334"/>
    <m/>
    <m/>
    <x v="3"/>
    <x v="1"/>
  </r>
  <r>
    <n v="5577150313"/>
    <d v="2016-04-13T00:00:00"/>
    <n v="432"/>
    <n v="7.2"/>
    <m/>
    <m/>
    <x v="3"/>
    <x v="1"/>
  </r>
  <r>
    <n v="5577150313"/>
    <d v="2016-04-14T00:00:00"/>
    <n v="477"/>
    <n v="7.95"/>
    <m/>
    <m/>
    <x v="3"/>
    <x v="1"/>
  </r>
  <r>
    <n v="5577150313"/>
    <d v="2016-04-15T00:00:00"/>
    <n v="392"/>
    <n v="6.5333333333333332"/>
    <m/>
    <m/>
    <x v="3"/>
    <x v="1"/>
  </r>
  <r>
    <n v="5577150313"/>
    <d v="2016-04-16T00:00:00"/>
    <n v="406"/>
    <n v="6.7666666666666666"/>
    <m/>
    <m/>
    <x v="3"/>
    <x v="1"/>
  </r>
  <r>
    <n v="5577150313"/>
    <d v="2016-04-17T00:00:00"/>
    <n v="549"/>
    <n v="9.15"/>
    <m/>
    <m/>
    <x v="3"/>
    <x v="1"/>
  </r>
  <r>
    <n v="5577150313"/>
    <d v="2016-04-18T00:00:00"/>
    <n v="527"/>
    <n v="8.7833333333333332"/>
    <m/>
    <m/>
    <x v="3"/>
    <x v="1"/>
  </r>
  <r>
    <n v="5577150313"/>
    <d v="2016-04-19T00:00:00"/>
    <n v="449"/>
    <n v="7.4833333333333334"/>
    <m/>
    <m/>
    <x v="3"/>
    <x v="1"/>
  </r>
  <r>
    <n v="5577150313"/>
    <d v="2016-04-20T00:00:00"/>
    <n v="447"/>
    <n v="7.45"/>
    <m/>
    <m/>
    <x v="3"/>
    <x v="1"/>
  </r>
  <r>
    <n v="5577150313"/>
    <d v="2016-04-21T00:00:00"/>
    <n v="414"/>
    <n v="6.9"/>
    <m/>
    <m/>
    <x v="3"/>
    <x v="1"/>
  </r>
  <r>
    <n v="5577150313"/>
    <d v="2016-04-22T00:00:00"/>
    <n v="338"/>
    <n v="5.6333333333333337"/>
    <m/>
    <m/>
    <x v="3"/>
    <x v="1"/>
  </r>
  <r>
    <n v="5577150313"/>
    <d v="2016-04-23T00:00:00"/>
    <n v="384"/>
    <n v="6.4"/>
    <m/>
    <m/>
    <x v="3"/>
    <x v="1"/>
  </r>
  <r>
    <n v="5577150313"/>
    <d v="2016-04-24T00:00:00"/>
    <n v="543"/>
    <n v="9.0500000000000007"/>
    <m/>
    <m/>
    <x v="3"/>
    <x v="1"/>
  </r>
  <r>
    <n v="5577150313"/>
    <d v="2016-04-25T00:00:00"/>
    <n v="421"/>
    <n v="7.0166666666666666"/>
    <m/>
    <m/>
    <x v="3"/>
    <x v="1"/>
  </r>
  <r>
    <n v="5577150313"/>
    <d v="2016-04-26T00:00:00"/>
    <n v="354"/>
    <n v="5.9"/>
    <m/>
    <m/>
    <x v="3"/>
    <x v="1"/>
  </r>
  <r>
    <n v="5577150313"/>
    <d v="2016-04-27T00:00:00"/>
    <n v="424"/>
    <n v="7.0666666666666664"/>
    <m/>
    <m/>
    <x v="3"/>
    <x v="1"/>
  </r>
  <r>
    <n v="5577150313"/>
    <d v="2016-04-28T00:00:00"/>
    <n v="361"/>
    <n v="6.0166666666666666"/>
    <m/>
    <m/>
    <x v="3"/>
    <x v="1"/>
  </r>
  <r>
    <n v="5577150313"/>
    <d v="2016-04-29T00:00:00"/>
    <n v="459"/>
    <n v="7.65"/>
    <m/>
    <m/>
    <x v="3"/>
    <x v="1"/>
  </r>
  <r>
    <n v="5577150313"/>
    <d v="2016-04-30T00:00:00"/>
    <n v="412"/>
    <n v="6.8666666666666663"/>
    <m/>
    <m/>
    <x v="3"/>
    <x v="1"/>
  </r>
  <r>
    <n v="5577150313"/>
    <d v="2016-05-01T00:00:00"/>
    <n v="379"/>
    <n v="6.3166666666666664"/>
    <m/>
    <m/>
    <x v="3"/>
    <x v="1"/>
  </r>
  <r>
    <n v="5577150313"/>
    <d v="2016-05-02T00:00:00"/>
    <n v="525"/>
    <n v="8.75"/>
    <m/>
    <m/>
    <x v="3"/>
    <x v="1"/>
  </r>
  <r>
    <n v="5577150313"/>
    <d v="2016-05-03T00:00:00"/>
    <n v="508"/>
    <n v="8.4666666666666668"/>
    <m/>
    <m/>
    <x v="3"/>
    <x v="1"/>
  </r>
  <r>
    <n v="5577150313"/>
    <d v="2016-05-04T00:00:00"/>
    <n v="603"/>
    <n v="10.050000000000001"/>
    <m/>
    <m/>
    <x v="3"/>
    <x v="1"/>
  </r>
  <r>
    <n v="5577150313"/>
    <d v="2016-05-05T00:00:00"/>
    <n v="74"/>
    <n v="1.2333333333333334"/>
    <m/>
    <m/>
    <x v="3"/>
    <x v="1"/>
  </r>
  <r>
    <n v="5577150313"/>
    <d v="2016-05-10T00:00:00"/>
    <n v="504"/>
    <n v="8.4"/>
    <m/>
    <m/>
    <x v="3"/>
    <x v="1"/>
  </r>
  <r>
    <n v="5577150313"/>
    <d v="2016-05-11T00:00:00"/>
    <n v="431"/>
    <n v="7.1833333333333336"/>
    <m/>
    <m/>
    <x v="3"/>
    <x v="1"/>
  </r>
  <r>
    <n v="6117666160"/>
    <d v="2016-04-16T00:00:00"/>
    <n v="380"/>
    <n v="6.333333333333333"/>
    <m/>
    <m/>
    <x v="3"/>
    <x v="1"/>
  </r>
  <r>
    <n v="6117666160"/>
    <d v="2016-04-17T00:00:00"/>
    <n v="336"/>
    <n v="5.6"/>
    <m/>
    <m/>
    <x v="3"/>
    <x v="1"/>
  </r>
  <r>
    <n v="6117666160"/>
    <d v="2016-04-18T00:00:00"/>
    <n v="493"/>
    <n v="8.2166666666666668"/>
    <m/>
    <m/>
    <x v="3"/>
    <x v="1"/>
  </r>
  <r>
    <n v="6117666160"/>
    <d v="2016-04-19T00:00:00"/>
    <n v="465"/>
    <n v="7.75"/>
    <m/>
    <m/>
    <x v="3"/>
    <x v="1"/>
  </r>
  <r>
    <n v="6117666160"/>
    <d v="2016-04-20T00:00:00"/>
    <n v="474"/>
    <n v="7.9"/>
    <m/>
    <m/>
    <x v="3"/>
    <x v="1"/>
  </r>
  <r>
    <n v="6117666160"/>
    <d v="2016-04-21T00:00:00"/>
    <n v="508"/>
    <n v="8.4666666666666668"/>
    <m/>
    <m/>
    <x v="3"/>
    <x v="1"/>
  </r>
  <r>
    <n v="6117666160"/>
    <d v="2016-04-22T00:00:00"/>
    <n v="480"/>
    <n v="8"/>
    <m/>
    <m/>
    <x v="3"/>
    <x v="1"/>
  </r>
  <r>
    <n v="6117666160"/>
    <d v="2016-04-23T00:00:00"/>
    <n v="492"/>
    <n v="8.1999999999999993"/>
    <m/>
    <m/>
    <x v="3"/>
    <x v="1"/>
  </r>
  <r>
    <n v="6117666160"/>
    <d v="2016-04-24T00:00:00"/>
    <n v="353"/>
    <n v="5.8833333333333337"/>
    <m/>
    <m/>
    <x v="3"/>
    <x v="1"/>
  </r>
  <r>
    <n v="6117666160"/>
    <d v="2016-04-27T00:00:00"/>
    <n v="542"/>
    <n v="9.0333333333333332"/>
    <m/>
    <m/>
    <x v="3"/>
    <x v="1"/>
  </r>
  <r>
    <n v="6117666160"/>
    <d v="2016-04-28T00:00:00"/>
    <n v="393"/>
    <n v="6.55"/>
    <m/>
    <m/>
    <x v="3"/>
    <x v="1"/>
  </r>
  <r>
    <n v="6117666160"/>
    <d v="2016-04-29T00:00:00"/>
    <n v="600"/>
    <n v="10"/>
    <m/>
    <m/>
    <x v="3"/>
    <x v="1"/>
  </r>
  <r>
    <n v="6117666160"/>
    <d v="2016-05-01T00:00:00"/>
    <n v="507"/>
    <n v="8.4499999999999993"/>
    <m/>
    <m/>
    <x v="3"/>
    <x v="1"/>
  </r>
  <r>
    <n v="6117666160"/>
    <d v="2016-05-05T00:00:00"/>
    <n v="392"/>
    <n v="6.5333333333333332"/>
    <m/>
    <m/>
    <x v="3"/>
    <x v="1"/>
  </r>
  <r>
    <n v="6117666160"/>
    <d v="2016-05-06T00:00:00"/>
    <n v="658"/>
    <n v="10.966666666666667"/>
    <m/>
    <m/>
    <x v="3"/>
    <x v="1"/>
  </r>
  <r>
    <n v="6117666160"/>
    <d v="2016-05-07T00:00:00"/>
    <n v="498"/>
    <n v="8.3000000000000007"/>
    <m/>
    <m/>
    <x v="3"/>
    <x v="1"/>
  </r>
  <r>
    <n v="6117666160"/>
    <d v="2016-05-08T00:00:00"/>
    <n v="555"/>
    <n v="9.25"/>
    <m/>
    <m/>
    <x v="3"/>
    <x v="1"/>
  </r>
  <r>
    <n v="6117666160"/>
    <d v="2016-05-09T00:00:00"/>
    <n v="492"/>
    <n v="8.1999999999999993"/>
    <m/>
    <m/>
    <x v="3"/>
    <x v="1"/>
  </r>
  <r>
    <n v="6775888955"/>
    <d v="2016-04-13T00:00:00"/>
    <n v="235"/>
    <n v="3.9166666666666665"/>
    <m/>
    <m/>
    <x v="3"/>
    <x v="1"/>
  </r>
  <r>
    <n v="6775888955"/>
    <d v="2016-04-14T00:00:00"/>
    <n v="423"/>
    <n v="7.05"/>
    <m/>
    <m/>
    <x v="3"/>
    <x v="1"/>
  </r>
  <r>
    <n v="6775888955"/>
    <d v="2016-04-15T00:00:00"/>
    <n v="391"/>
    <n v="6.5166666666666666"/>
    <m/>
    <m/>
    <x v="3"/>
    <x v="1"/>
  </r>
  <r>
    <n v="6962181067"/>
    <d v="2016-04-12T00:00:00"/>
    <n v="366"/>
    <n v="6.1"/>
    <m/>
    <m/>
    <x v="3"/>
    <x v="1"/>
  </r>
  <r>
    <n v="6962181067"/>
    <d v="2016-04-13T00:00:00"/>
    <n v="630"/>
    <n v="10.5"/>
    <m/>
    <m/>
    <x v="3"/>
    <x v="1"/>
  </r>
  <r>
    <n v="6962181067"/>
    <d v="2016-04-14T00:00:00"/>
    <n v="508"/>
    <n v="8.4666666666666668"/>
    <m/>
    <m/>
    <x v="3"/>
    <x v="1"/>
  </r>
  <r>
    <n v="6962181067"/>
    <d v="2016-04-15T00:00:00"/>
    <n v="370"/>
    <n v="6.166666666666667"/>
    <m/>
    <m/>
    <x v="3"/>
    <x v="1"/>
  </r>
  <r>
    <n v="6962181067"/>
    <d v="2016-04-16T00:00:00"/>
    <n v="357"/>
    <n v="5.95"/>
    <m/>
    <m/>
    <x v="3"/>
    <x v="1"/>
  </r>
  <r>
    <n v="6962181067"/>
    <d v="2016-04-17T00:00:00"/>
    <n v="427"/>
    <n v="7.1166666666666663"/>
    <m/>
    <m/>
    <x v="3"/>
    <x v="1"/>
  </r>
  <r>
    <n v="6962181067"/>
    <d v="2016-04-18T00:00:00"/>
    <n v="442"/>
    <n v="7.3666666666666663"/>
    <m/>
    <m/>
    <x v="3"/>
    <x v="1"/>
  </r>
  <r>
    <n v="6962181067"/>
    <d v="2016-04-19T00:00:00"/>
    <n v="476"/>
    <n v="7.9333333333333336"/>
    <m/>
    <m/>
    <x v="3"/>
    <x v="1"/>
  </r>
  <r>
    <n v="6962181067"/>
    <d v="2016-04-20T00:00:00"/>
    <n v="418"/>
    <n v="6.9666666666666668"/>
    <m/>
    <m/>
    <x v="3"/>
    <x v="1"/>
  </r>
  <r>
    <n v="6962181067"/>
    <d v="2016-04-21T00:00:00"/>
    <n v="451"/>
    <n v="7.5166666666666666"/>
    <m/>
    <m/>
    <x v="3"/>
    <x v="1"/>
  </r>
  <r>
    <n v="6962181067"/>
    <d v="2016-04-22T00:00:00"/>
    <n v="425"/>
    <n v="7.083333333333333"/>
    <m/>
    <m/>
    <x v="3"/>
    <x v="1"/>
  </r>
  <r>
    <n v="6962181067"/>
    <d v="2016-04-23T00:00:00"/>
    <n v="528"/>
    <n v="8.8000000000000007"/>
    <m/>
    <m/>
    <x v="3"/>
    <x v="1"/>
  </r>
  <r>
    <n v="6962181067"/>
    <d v="2016-04-24T00:00:00"/>
    <n v="511"/>
    <n v="8.5166666666666675"/>
    <m/>
    <m/>
    <x v="3"/>
    <x v="1"/>
  </r>
  <r>
    <n v="6962181067"/>
    <d v="2016-04-25T00:00:00"/>
    <n v="400"/>
    <n v="6.666666666666667"/>
    <m/>
    <m/>
    <x v="3"/>
    <x v="1"/>
  </r>
  <r>
    <n v="6962181067"/>
    <d v="2016-04-26T00:00:00"/>
    <n v="441"/>
    <n v="7.35"/>
    <m/>
    <m/>
    <x v="3"/>
    <x v="1"/>
  </r>
  <r>
    <n v="6962181067"/>
    <d v="2016-04-27T00:00:00"/>
    <n v="455"/>
    <n v="7.583333333333333"/>
    <m/>
    <m/>
    <x v="3"/>
    <x v="1"/>
  </r>
  <r>
    <n v="6962181067"/>
    <d v="2016-04-28T00:00:00"/>
    <n v="440"/>
    <n v="7.333333333333333"/>
    <m/>
    <m/>
    <x v="3"/>
    <x v="1"/>
  </r>
  <r>
    <n v="6962181067"/>
    <d v="2016-04-29T00:00:00"/>
    <n v="433"/>
    <n v="7.2166666666666668"/>
    <m/>
    <m/>
    <x v="3"/>
    <x v="1"/>
  </r>
  <r>
    <n v="6962181067"/>
    <d v="2016-04-30T00:00:00"/>
    <n v="422"/>
    <n v="7.0333333333333332"/>
    <m/>
    <m/>
    <x v="3"/>
    <x v="1"/>
  </r>
  <r>
    <n v="6962181067"/>
    <d v="2016-05-01T00:00:00"/>
    <n v="411"/>
    <n v="6.85"/>
    <m/>
    <m/>
    <x v="3"/>
    <x v="1"/>
  </r>
  <r>
    <n v="6962181067"/>
    <d v="2016-05-02T00:00:00"/>
    <n v="466"/>
    <n v="7.7666666666666666"/>
    <m/>
    <m/>
    <x v="3"/>
    <x v="1"/>
  </r>
  <r>
    <n v="6962181067"/>
    <d v="2016-05-03T00:00:00"/>
    <n v="394"/>
    <n v="6.5666666666666664"/>
    <m/>
    <m/>
    <x v="3"/>
    <x v="1"/>
  </r>
  <r>
    <n v="6962181067"/>
    <d v="2016-05-04T00:00:00"/>
    <n v="442"/>
    <n v="7.3666666666666663"/>
    <m/>
    <m/>
    <x v="3"/>
    <x v="1"/>
  </r>
  <r>
    <n v="6962181067"/>
    <d v="2016-05-05T00:00:00"/>
    <n v="467"/>
    <n v="7.7833333333333332"/>
    <m/>
    <m/>
    <x v="3"/>
    <x v="1"/>
  </r>
  <r>
    <n v="6962181067"/>
    <d v="2016-05-06T00:00:00"/>
    <n v="443"/>
    <n v="7.3833333333333337"/>
    <m/>
    <m/>
    <x v="3"/>
    <x v="1"/>
  </r>
  <r>
    <n v="6962181067"/>
    <d v="2016-05-07T00:00:00"/>
    <n v="298"/>
    <n v="4.9666666666666668"/>
    <m/>
    <m/>
    <x v="3"/>
    <x v="1"/>
  </r>
  <r>
    <n v="6962181067"/>
    <d v="2016-05-08T00:00:00"/>
    <n v="541"/>
    <n v="9.0166666666666675"/>
    <m/>
    <m/>
    <x v="3"/>
    <x v="1"/>
  </r>
  <r>
    <n v="6962181067"/>
    <d v="2016-05-09T00:00:00"/>
    <n v="489"/>
    <n v="8.15"/>
    <m/>
    <m/>
    <x v="3"/>
    <x v="1"/>
  </r>
  <r>
    <n v="6962181067"/>
    <d v="2016-05-10T00:00:00"/>
    <n v="469"/>
    <n v="7.8166666666666664"/>
    <m/>
    <m/>
    <x v="3"/>
    <x v="1"/>
  </r>
  <r>
    <n v="6962181067"/>
    <d v="2016-05-11T00:00:00"/>
    <n v="452"/>
    <n v="7.5333333333333332"/>
    <m/>
    <m/>
    <x v="3"/>
    <x v="1"/>
  </r>
  <r>
    <n v="6962181067"/>
    <d v="2016-05-12T00:00:00"/>
    <n v="516"/>
    <n v="8.6"/>
    <m/>
    <m/>
    <x v="3"/>
    <x v="1"/>
  </r>
  <r>
    <n v="7007744171"/>
    <d v="2016-04-16T00:00:00"/>
    <n v="79"/>
    <n v="1.3166666666666667"/>
    <m/>
    <m/>
    <x v="3"/>
    <x v="1"/>
  </r>
  <r>
    <n v="7007744171"/>
    <d v="2016-05-01T00:00:00"/>
    <n v="58"/>
    <n v="0.96666666666666667"/>
    <m/>
    <m/>
    <x v="3"/>
    <x v="1"/>
  </r>
  <r>
    <n v="7086361926"/>
    <d v="2016-04-12T00:00:00"/>
    <n v="514"/>
    <n v="8.5666666666666664"/>
    <m/>
    <m/>
    <x v="3"/>
    <x v="1"/>
  </r>
  <r>
    <n v="7086361926"/>
    <d v="2016-04-13T00:00:00"/>
    <n v="451"/>
    <n v="7.5166666666666666"/>
    <m/>
    <m/>
    <x v="3"/>
    <x v="1"/>
  </r>
  <r>
    <n v="7086361926"/>
    <d v="2016-04-14T00:00:00"/>
    <n v="472"/>
    <n v="7.8666666666666663"/>
    <m/>
    <m/>
    <x v="3"/>
    <x v="1"/>
  </r>
  <r>
    <n v="7086361926"/>
    <d v="2016-04-15T00:00:00"/>
    <n v="377"/>
    <n v="6.2833333333333332"/>
    <m/>
    <m/>
    <x v="3"/>
    <x v="1"/>
  </r>
  <r>
    <n v="7086361926"/>
    <d v="2016-04-19T00:00:00"/>
    <n v="472"/>
    <n v="7.8666666666666663"/>
    <m/>
    <m/>
    <x v="3"/>
    <x v="1"/>
  </r>
  <r>
    <n v="7086361926"/>
    <d v="2016-04-20T00:00:00"/>
    <n v="492"/>
    <n v="8.1999999999999993"/>
    <m/>
    <m/>
    <x v="3"/>
    <x v="1"/>
  </r>
  <r>
    <n v="7086361926"/>
    <d v="2016-04-21T00:00:00"/>
    <n v="390"/>
    <n v="6.5"/>
    <m/>
    <m/>
    <x v="3"/>
    <x v="1"/>
  </r>
  <r>
    <n v="7086361926"/>
    <d v="2016-04-22T00:00:00"/>
    <n v="428"/>
    <n v="7.1333333333333337"/>
    <m/>
    <m/>
    <x v="3"/>
    <x v="1"/>
  </r>
  <r>
    <n v="7086361926"/>
    <d v="2016-04-24T00:00:00"/>
    <n v="681"/>
    <n v="11.35"/>
    <m/>
    <m/>
    <x v="3"/>
    <x v="1"/>
  </r>
  <r>
    <n v="7086361926"/>
    <d v="2016-04-25T00:00:00"/>
    <n v="446"/>
    <n v="7.4333333333333336"/>
    <m/>
    <m/>
    <x v="3"/>
    <x v="1"/>
  </r>
  <r>
    <n v="7086361926"/>
    <d v="2016-04-26T00:00:00"/>
    <n v="485"/>
    <n v="8.0833333333333339"/>
    <m/>
    <m/>
    <x v="3"/>
    <x v="1"/>
  </r>
  <r>
    <n v="7086361926"/>
    <d v="2016-04-27T00:00:00"/>
    <n v="469"/>
    <n v="7.8166666666666664"/>
    <m/>
    <m/>
    <x v="3"/>
    <x v="1"/>
  </r>
  <r>
    <n v="7086361926"/>
    <d v="2016-04-28T00:00:00"/>
    <n v="354"/>
    <n v="5.9"/>
    <m/>
    <m/>
    <x v="3"/>
    <x v="1"/>
  </r>
  <r>
    <n v="7086361926"/>
    <d v="2016-04-30T00:00:00"/>
    <n v="485"/>
    <n v="8.0833333333333339"/>
    <m/>
    <m/>
    <x v="3"/>
    <x v="1"/>
  </r>
  <r>
    <n v="7086361926"/>
    <d v="2016-05-01T00:00:00"/>
    <n v="388"/>
    <n v="6.4666666666666668"/>
    <m/>
    <m/>
    <x v="3"/>
    <x v="1"/>
  </r>
  <r>
    <n v="7086361926"/>
    <d v="2016-05-02T00:00:00"/>
    <n v="440"/>
    <n v="7.333333333333333"/>
    <m/>
    <m/>
    <x v="3"/>
    <x v="1"/>
  </r>
  <r>
    <n v="7086361926"/>
    <d v="2016-05-03T00:00:00"/>
    <n v="456"/>
    <n v="7.6"/>
    <m/>
    <m/>
    <x v="3"/>
    <x v="1"/>
  </r>
  <r>
    <n v="7086361926"/>
    <d v="2016-05-04T00:00:00"/>
    <n v="420"/>
    <n v="7"/>
    <m/>
    <m/>
    <x v="3"/>
    <x v="1"/>
  </r>
  <r>
    <n v="7086361926"/>
    <d v="2016-05-06T00:00:00"/>
    <n v="322"/>
    <n v="5.3666666666666663"/>
    <m/>
    <m/>
    <x v="3"/>
    <x v="1"/>
  </r>
  <r>
    <n v="7086361926"/>
    <d v="2016-05-07T00:00:00"/>
    <n v="530"/>
    <n v="8.8333333333333339"/>
    <m/>
    <m/>
    <x v="3"/>
    <x v="1"/>
  </r>
  <r>
    <n v="7086361926"/>
    <d v="2016-05-08T00:00:00"/>
    <n v="481"/>
    <n v="8.0166666666666675"/>
    <m/>
    <m/>
    <x v="3"/>
    <x v="1"/>
  </r>
  <r>
    <n v="7086361926"/>
    <d v="2016-05-09T00:00:00"/>
    <n v="427"/>
    <n v="7.1166666666666663"/>
    <m/>
    <m/>
    <x v="3"/>
    <x v="1"/>
  </r>
  <r>
    <n v="7086361926"/>
    <d v="2016-05-11T00:00:00"/>
    <n v="451"/>
    <n v="7.5166666666666666"/>
    <m/>
    <m/>
    <x v="3"/>
    <x v="1"/>
  </r>
  <r>
    <n v="7086361926"/>
    <d v="2016-05-12T00:00:00"/>
    <n v="444"/>
    <n v="7.4"/>
    <m/>
    <m/>
    <x v="3"/>
    <x v="1"/>
  </r>
  <r>
    <n v="8053475328"/>
    <d v="2016-04-20T00:00:00"/>
    <n v="486"/>
    <n v="8.1"/>
    <m/>
    <m/>
    <x v="3"/>
    <x v="1"/>
  </r>
  <r>
    <n v="8053475328"/>
    <d v="2016-04-23T00:00:00"/>
    <n v="331"/>
    <n v="5.5166666666666666"/>
    <m/>
    <m/>
    <x v="3"/>
    <x v="1"/>
  </r>
  <r>
    <n v="8053475328"/>
    <d v="2016-05-07T00:00:00"/>
    <n v="74"/>
    <n v="1.2333333333333334"/>
    <m/>
    <m/>
    <x v="3"/>
    <x v="1"/>
  </r>
  <r>
    <n v="8378563200"/>
    <d v="2016-04-12T00:00:00"/>
    <n v="338"/>
    <n v="5.6333333333333337"/>
    <m/>
    <m/>
    <x v="3"/>
    <x v="1"/>
  </r>
  <r>
    <n v="8378563200"/>
    <d v="2016-04-13T00:00:00"/>
    <n v="447"/>
    <n v="7.45"/>
    <m/>
    <m/>
    <x v="3"/>
    <x v="1"/>
  </r>
  <r>
    <n v="8378563200"/>
    <d v="2016-04-14T00:00:00"/>
    <n v="424"/>
    <n v="7.0666666666666664"/>
    <m/>
    <m/>
    <x v="3"/>
    <x v="1"/>
  </r>
  <r>
    <n v="8378563200"/>
    <d v="2016-04-15T00:00:00"/>
    <n v="513"/>
    <n v="8.5500000000000007"/>
    <m/>
    <m/>
    <x v="3"/>
    <x v="1"/>
  </r>
  <r>
    <n v="8378563200"/>
    <d v="2016-04-16T00:00:00"/>
    <n v="611"/>
    <n v="10.183333333333334"/>
    <m/>
    <m/>
    <x v="3"/>
    <x v="1"/>
  </r>
  <r>
    <n v="8378563200"/>
    <d v="2016-04-17T00:00:00"/>
    <n v="525"/>
    <n v="8.75"/>
    <m/>
    <m/>
    <x v="3"/>
    <x v="1"/>
  </r>
  <r>
    <n v="8378563200"/>
    <d v="2016-04-18T00:00:00"/>
    <n v="398"/>
    <n v="6.6333333333333337"/>
    <m/>
    <m/>
    <x v="3"/>
    <x v="1"/>
  </r>
  <r>
    <n v="8378563200"/>
    <d v="2016-04-19T00:00:00"/>
    <n v="387"/>
    <n v="6.45"/>
    <m/>
    <m/>
    <x v="3"/>
    <x v="1"/>
  </r>
  <r>
    <n v="8378563200"/>
    <d v="2016-04-20T00:00:00"/>
    <n v="381"/>
    <n v="6.35"/>
    <m/>
    <m/>
    <x v="3"/>
    <x v="1"/>
  </r>
  <r>
    <n v="8378563200"/>
    <d v="2016-04-21T00:00:00"/>
    <n v="396"/>
    <n v="6.6"/>
    <m/>
    <m/>
    <x v="3"/>
    <x v="1"/>
  </r>
  <r>
    <n v="8378563200"/>
    <d v="2016-04-22T00:00:00"/>
    <n v="441"/>
    <n v="7.35"/>
    <m/>
    <m/>
    <x v="3"/>
    <x v="1"/>
  </r>
  <r>
    <n v="8378563200"/>
    <d v="2016-04-23T00:00:00"/>
    <n v="565"/>
    <n v="9.4166666666666661"/>
    <m/>
    <m/>
    <x v="3"/>
    <x v="1"/>
  </r>
  <r>
    <n v="8378563200"/>
    <d v="2016-04-24T00:00:00"/>
    <n v="458"/>
    <n v="7.6333333333333337"/>
    <m/>
    <m/>
    <x v="3"/>
    <x v="1"/>
  </r>
  <r>
    <n v="8378563200"/>
    <d v="2016-04-25T00:00:00"/>
    <n v="388"/>
    <n v="6.4666666666666668"/>
    <m/>
    <m/>
    <x v="3"/>
    <x v="1"/>
  </r>
  <r>
    <n v="8378563200"/>
    <d v="2016-04-25T00:00:00"/>
    <n v="388"/>
    <n v="6.4666666666666668"/>
    <m/>
    <m/>
    <x v="3"/>
    <x v="1"/>
  </r>
  <r>
    <n v="8378563200"/>
    <d v="2016-04-26T00:00:00"/>
    <n v="550"/>
    <n v="9.1666666666666661"/>
    <m/>
    <m/>
    <x v="3"/>
    <x v="1"/>
  </r>
  <r>
    <n v="8378563200"/>
    <d v="2016-04-27T00:00:00"/>
    <n v="531"/>
    <n v="8.85"/>
    <m/>
    <m/>
    <x v="3"/>
    <x v="1"/>
  </r>
  <r>
    <n v="8378563200"/>
    <d v="2016-04-28T00:00:00"/>
    <n v="506"/>
    <n v="8.4333333333333336"/>
    <m/>
    <m/>
    <x v="3"/>
    <x v="1"/>
  </r>
  <r>
    <n v="8378563200"/>
    <d v="2016-04-29T00:00:00"/>
    <n v="527"/>
    <n v="8.7833333333333332"/>
    <m/>
    <m/>
    <x v="3"/>
    <x v="1"/>
  </r>
  <r>
    <n v="8378563200"/>
    <d v="2016-04-30T00:00:00"/>
    <n v="468"/>
    <n v="7.8"/>
    <m/>
    <m/>
    <x v="3"/>
    <x v="1"/>
  </r>
  <r>
    <n v="8378563200"/>
    <d v="2016-05-01T00:00:00"/>
    <n v="475"/>
    <n v="7.916666666666667"/>
    <m/>
    <m/>
    <x v="3"/>
    <x v="1"/>
  </r>
  <r>
    <n v="8378563200"/>
    <d v="2016-05-02T00:00:00"/>
    <n v="351"/>
    <n v="5.85"/>
    <m/>
    <m/>
    <x v="3"/>
    <x v="1"/>
  </r>
  <r>
    <n v="8378563200"/>
    <d v="2016-05-03T00:00:00"/>
    <n v="405"/>
    <n v="6.75"/>
    <m/>
    <m/>
    <x v="3"/>
    <x v="1"/>
  </r>
  <r>
    <n v="8378563200"/>
    <d v="2016-05-04T00:00:00"/>
    <n v="441"/>
    <n v="7.35"/>
    <m/>
    <m/>
    <x v="3"/>
    <x v="1"/>
  </r>
  <r>
    <n v="8378563200"/>
    <d v="2016-05-05T00:00:00"/>
    <n v="381"/>
    <n v="6.35"/>
    <m/>
    <m/>
    <x v="3"/>
    <x v="1"/>
  </r>
  <r>
    <n v="8378563200"/>
    <d v="2016-05-06T00:00:00"/>
    <n v="323"/>
    <n v="5.3833333333333337"/>
    <m/>
    <m/>
    <x v="3"/>
    <x v="1"/>
  </r>
  <r>
    <n v="8378563200"/>
    <d v="2016-05-07T00:00:00"/>
    <n v="459"/>
    <n v="7.65"/>
    <m/>
    <m/>
    <x v="3"/>
    <x v="1"/>
  </r>
  <r>
    <n v="8378563200"/>
    <d v="2016-05-08T00:00:00"/>
    <n v="545"/>
    <n v="9.0833333333333339"/>
    <m/>
    <m/>
    <x v="3"/>
    <x v="1"/>
  </r>
  <r>
    <n v="8378563200"/>
    <d v="2016-05-09T00:00:00"/>
    <n v="359"/>
    <n v="5.9833333333333334"/>
    <m/>
    <m/>
    <x v="3"/>
    <x v="1"/>
  </r>
  <r>
    <n v="8378563200"/>
    <d v="2016-05-10T00:00:00"/>
    <n v="342"/>
    <n v="5.7"/>
    <m/>
    <m/>
    <x v="3"/>
    <x v="1"/>
  </r>
  <r>
    <n v="8378563200"/>
    <d v="2016-05-11T00:00:00"/>
    <n v="368"/>
    <n v="6.1333333333333337"/>
    <m/>
    <m/>
    <x v="3"/>
    <x v="1"/>
  </r>
  <r>
    <n v="8378563200"/>
    <d v="2016-05-12T00:00:00"/>
    <n v="496"/>
    <n v="8.2666666666666675"/>
    <m/>
    <m/>
    <x v="3"/>
    <x v="1"/>
  </r>
  <r>
    <n v="8792009665"/>
    <d v="2016-04-12T00:00:00"/>
    <n v="458"/>
    <n v="7.6333333333333337"/>
    <m/>
    <m/>
    <x v="3"/>
    <x v="1"/>
  </r>
  <r>
    <n v="8792009665"/>
    <d v="2016-04-13T00:00:00"/>
    <n v="531"/>
    <n v="8.85"/>
    <m/>
    <m/>
    <x v="3"/>
    <x v="1"/>
  </r>
  <r>
    <n v="8792009665"/>
    <d v="2016-04-14T00:00:00"/>
    <n v="486"/>
    <n v="8.1"/>
    <m/>
    <m/>
    <x v="3"/>
    <x v="1"/>
  </r>
  <r>
    <n v="8792009665"/>
    <d v="2016-04-15T00:00:00"/>
    <n v="363"/>
    <n v="6.05"/>
    <m/>
    <m/>
    <x v="3"/>
    <x v="1"/>
  </r>
  <r>
    <n v="8792009665"/>
    <d v="2016-04-20T00:00:00"/>
    <n v="528"/>
    <n v="8.8000000000000007"/>
    <m/>
    <m/>
    <x v="3"/>
    <x v="1"/>
  </r>
  <r>
    <n v="8792009665"/>
    <d v="2016-04-22T00:00:00"/>
    <n v="391"/>
    <n v="6.5166666666666666"/>
    <m/>
    <m/>
    <x v="3"/>
    <x v="1"/>
  </r>
  <r>
    <n v="8792009665"/>
    <d v="2016-04-23T00:00:00"/>
    <n v="339"/>
    <n v="5.65"/>
    <m/>
    <m/>
    <x v="3"/>
    <x v="1"/>
  </r>
  <r>
    <n v="8792009665"/>
    <d v="2016-04-27T00:00:00"/>
    <n v="423"/>
    <n v="7.05"/>
    <m/>
    <m/>
    <x v="3"/>
    <x v="1"/>
  </r>
  <r>
    <n v="8792009665"/>
    <d v="2016-04-28T00:00:00"/>
    <n v="402"/>
    <n v="6.7"/>
    <m/>
    <m/>
    <x v="3"/>
    <x v="1"/>
  </r>
  <r>
    <n v="8792009665"/>
    <d v="2016-04-29T00:00:00"/>
    <n v="398"/>
    <n v="6.6333333333333337"/>
    <m/>
    <m/>
    <x v="3"/>
    <x v="1"/>
  </r>
  <r>
    <n v="8792009665"/>
    <d v="2016-04-30T00:00:00"/>
    <n v="343"/>
    <n v="5.7166666666666668"/>
    <m/>
    <m/>
    <x v="3"/>
    <x v="1"/>
  </r>
  <r>
    <n v="8792009665"/>
    <d v="2016-05-01T00:00:00"/>
    <n v="503"/>
    <n v="8.3833333333333329"/>
    <m/>
    <m/>
    <x v="3"/>
    <x v="1"/>
  </r>
  <r>
    <n v="8792009665"/>
    <d v="2016-05-02T00:00:00"/>
    <n v="415"/>
    <n v="6.916666666666667"/>
    <m/>
    <m/>
    <x v="3"/>
    <x v="1"/>
  </r>
  <r>
    <n v="8792009665"/>
    <d v="2016-05-03T00:00:00"/>
    <n v="516"/>
    <n v="8.6"/>
    <m/>
    <m/>
    <x v="3"/>
    <x v="1"/>
  </r>
  <r>
    <n v="8792009665"/>
    <d v="2016-05-04T00:00:00"/>
    <n v="439"/>
    <n v="7.3166666666666664"/>
    <m/>
    <m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7">
    <pivotField showAll="0"/>
    <pivotField numFmtId="164" showAll="0"/>
    <pivotField showAll="0"/>
    <pivotField numFmtId="165" showAll="0"/>
    <pivotField dataField="1" showAll="0"/>
    <pivotField showAll="0"/>
    <pivotField axis="axisRow" showAll="0">
      <items count="5">
        <item x="2"/>
        <item x="0"/>
        <item x="1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nique Ids" fld="4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B12" firstHeaderRow="1" firstDataRow="1" firstDataCol="1"/>
  <pivotFields count="8">
    <pivotField showAll="0"/>
    <pivotField numFmtId="164" showAll="0"/>
    <pivotField showAll="0"/>
    <pivotField numFmtId="165" showAll="0"/>
    <pivotField dataField="1" showAll="0"/>
    <pivotField showAll="0"/>
    <pivotField showAll="0">
      <items count="5">
        <item x="2"/>
        <item x="0"/>
        <item x="1"/>
        <item h="1" x="3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Unique Ids" fld="4" subtotal="count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4"/>
  <sheetViews>
    <sheetView tabSelected="1" workbookViewId="0">
      <selection activeCell="C14" sqref="C14"/>
    </sheetView>
  </sheetViews>
  <sheetFormatPr defaultRowHeight="15" x14ac:dyDescent="0.25"/>
  <cols>
    <col min="1" max="1" width="11" bestFit="1" customWidth="1"/>
    <col min="2" max="2" width="19.140625" bestFit="1" customWidth="1"/>
    <col min="3" max="3" width="16.85546875" bestFit="1" customWidth="1"/>
    <col min="4" max="4" width="11" bestFit="1" customWidth="1"/>
    <col min="5" max="5" width="19.85546875" bestFit="1" customWidth="1"/>
    <col min="6" max="6" width="20" bestFit="1" customWidth="1"/>
    <col min="7" max="7" width="18.42578125" bestFit="1" customWidth="1"/>
    <col min="9" max="9" width="13.7109375" bestFit="1" customWidth="1"/>
  </cols>
  <sheetData>
    <row r="1" spans="1:9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</row>
    <row r="2" spans="1:9" x14ac:dyDescent="0.25">
      <c r="A2">
        <v>1503960366</v>
      </c>
      <c r="B2">
        <v>327</v>
      </c>
      <c r="C2" s="1">
        <f>B2/60</f>
        <v>5.45</v>
      </c>
      <c r="D2">
        <v>1503960366</v>
      </c>
      <c r="E2" s="2">
        <f t="shared" ref="E2:E25" si="0">AVERAGEIF($A$2:$A$414,D2,$C$2:$C$414)</f>
        <v>6.0046666666666644</v>
      </c>
      <c r="F2" s="8" t="str">
        <f>IF(E2&lt;7,"Sleep Deprived",IF(AND(E2&gt;=7,E2&lt;=8),"Good Sleep Schedule","Underlying Problem"))</f>
        <v>Sleep Deprived</v>
      </c>
      <c r="G2" t="str">
        <f>IF(OR(F2="Sleep Deprived",F2="Underlying Problem"),"Potential Customer","Not")</f>
        <v>Potential Customer</v>
      </c>
    </row>
    <row r="3" spans="1:9" x14ac:dyDescent="0.25">
      <c r="A3">
        <v>1503960366</v>
      </c>
      <c r="B3">
        <v>384</v>
      </c>
      <c r="C3" s="1">
        <f t="shared" ref="C3:C66" si="1">B3/60</f>
        <v>6.4</v>
      </c>
      <c r="D3">
        <v>1644430081</v>
      </c>
      <c r="E3" s="2">
        <f t="shared" si="0"/>
        <v>4.9000000000000004</v>
      </c>
      <c r="F3" s="8" t="str">
        <f t="shared" ref="F3:F25" si="2">IF(E3&lt;7,"Sleep Deprived",IF(AND(E3&gt;=7,E3&lt;=8),"Good Sleep Schedule","Underlying Problem"))</f>
        <v>Sleep Deprived</v>
      </c>
      <c r="G3" t="str">
        <f t="shared" ref="G3:G25" si="3">IF(OR(F3="Sleep Deprived",F3="Underlying Problem"),"Potential Customer","Not")</f>
        <v>Potential Customer</v>
      </c>
    </row>
    <row r="4" spans="1:9" x14ac:dyDescent="0.25">
      <c r="A4">
        <v>1503960366</v>
      </c>
      <c r="B4">
        <v>412</v>
      </c>
      <c r="C4" s="1">
        <f t="shared" si="1"/>
        <v>6.8666666666666663</v>
      </c>
      <c r="D4">
        <v>1844505072</v>
      </c>
      <c r="E4" s="2">
        <f t="shared" si="0"/>
        <v>10.866666666666667</v>
      </c>
      <c r="F4" s="8" t="str">
        <f t="shared" si="2"/>
        <v>Underlying Problem</v>
      </c>
      <c r="G4" t="str">
        <f t="shared" si="3"/>
        <v>Potential Customer</v>
      </c>
    </row>
    <row r="5" spans="1:9" x14ac:dyDescent="0.25">
      <c r="A5">
        <v>1503960366</v>
      </c>
      <c r="B5">
        <v>340</v>
      </c>
      <c r="C5" s="1">
        <f t="shared" si="1"/>
        <v>5.666666666666667</v>
      </c>
      <c r="D5">
        <v>1927972279</v>
      </c>
      <c r="E5" s="2">
        <f t="shared" si="0"/>
        <v>6.95</v>
      </c>
      <c r="F5" s="8" t="str">
        <f t="shared" si="2"/>
        <v>Sleep Deprived</v>
      </c>
      <c r="G5" t="str">
        <f t="shared" si="3"/>
        <v>Potential Customer</v>
      </c>
    </row>
    <row r="6" spans="1:9" ht="26.25" x14ac:dyDescent="0.4">
      <c r="A6">
        <v>1503960366</v>
      </c>
      <c r="B6">
        <v>700</v>
      </c>
      <c r="C6" s="1">
        <f t="shared" si="1"/>
        <v>11.666666666666666</v>
      </c>
      <c r="D6">
        <v>2026352035</v>
      </c>
      <c r="E6" s="2">
        <f t="shared" si="0"/>
        <v>8.4363095238095251</v>
      </c>
      <c r="F6" s="8" t="str">
        <f t="shared" si="2"/>
        <v>Underlying Problem</v>
      </c>
      <c r="G6" t="str">
        <f t="shared" si="3"/>
        <v>Potential Customer</v>
      </c>
      <c r="I6" s="11" t="s">
        <v>14</v>
      </c>
    </row>
    <row r="7" spans="1:9" x14ac:dyDescent="0.25">
      <c r="A7">
        <v>1503960366</v>
      </c>
      <c r="B7">
        <v>304</v>
      </c>
      <c r="C7" s="1">
        <f t="shared" si="1"/>
        <v>5.0666666666666664</v>
      </c>
      <c r="D7">
        <v>2320127002</v>
      </c>
      <c r="E7" s="2">
        <f t="shared" si="0"/>
        <v>1.0166666666666666</v>
      </c>
      <c r="F7" s="8" t="str">
        <f t="shared" si="2"/>
        <v>Sleep Deprived</v>
      </c>
      <c r="G7" t="str">
        <f t="shared" si="3"/>
        <v>Potential Customer</v>
      </c>
      <c r="I7" t="s">
        <v>15</v>
      </c>
    </row>
    <row r="8" spans="1:9" x14ac:dyDescent="0.25">
      <c r="A8">
        <v>1503960366</v>
      </c>
      <c r="B8">
        <v>360</v>
      </c>
      <c r="C8" s="1">
        <f t="shared" si="1"/>
        <v>6</v>
      </c>
      <c r="D8">
        <v>2347167796</v>
      </c>
      <c r="E8" s="2">
        <f t="shared" si="0"/>
        <v>7.4466666666666663</v>
      </c>
      <c r="F8" s="8" t="str">
        <f t="shared" si="2"/>
        <v>Good Sleep Schedule</v>
      </c>
      <c r="G8" t="str">
        <f t="shared" si="3"/>
        <v>Not</v>
      </c>
      <c r="I8" t="s">
        <v>16</v>
      </c>
    </row>
    <row r="9" spans="1:9" x14ac:dyDescent="0.25">
      <c r="A9">
        <v>1503960366</v>
      </c>
      <c r="B9">
        <v>325</v>
      </c>
      <c r="C9" s="1">
        <f t="shared" si="1"/>
        <v>5.416666666666667</v>
      </c>
      <c r="D9">
        <v>3977333714</v>
      </c>
      <c r="E9" s="2">
        <f t="shared" si="0"/>
        <v>4.8940476190476181</v>
      </c>
      <c r="F9" s="8" t="str">
        <f t="shared" si="2"/>
        <v>Sleep Deprived</v>
      </c>
      <c r="G9" t="str">
        <f t="shared" si="3"/>
        <v>Potential Customer</v>
      </c>
      <c r="I9" t="s">
        <v>17</v>
      </c>
    </row>
    <row r="10" spans="1:9" x14ac:dyDescent="0.25">
      <c r="A10">
        <v>1503960366</v>
      </c>
      <c r="B10">
        <v>361</v>
      </c>
      <c r="C10" s="1">
        <f t="shared" si="1"/>
        <v>6.0166666666666666</v>
      </c>
      <c r="D10">
        <v>4020332650</v>
      </c>
      <c r="E10" s="2">
        <f t="shared" si="0"/>
        <v>5.822916666666667</v>
      </c>
      <c r="F10" s="8" t="str">
        <f t="shared" si="2"/>
        <v>Sleep Deprived</v>
      </c>
      <c r="G10" t="str">
        <f t="shared" si="3"/>
        <v>Potential Customer</v>
      </c>
    </row>
    <row r="11" spans="1:9" x14ac:dyDescent="0.25">
      <c r="A11">
        <v>1503960366</v>
      </c>
      <c r="B11">
        <v>430</v>
      </c>
      <c r="C11" s="1">
        <f t="shared" si="1"/>
        <v>7.166666666666667</v>
      </c>
      <c r="D11">
        <v>4319703577</v>
      </c>
      <c r="E11" s="2">
        <f t="shared" si="0"/>
        <v>7.9442307692307699</v>
      </c>
      <c r="F11" s="8" t="str">
        <f t="shared" si="2"/>
        <v>Good Sleep Schedule</v>
      </c>
      <c r="G11" t="str">
        <f t="shared" si="3"/>
        <v>Not</v>
      </c>
    </row>
    <row r="12" spans="1:9" x14ac:dyDescent="0.25">
      <c r="A12">
        <v>1503960366</v>
      </c>
      <c r="B12">
        <v>277</v>
      </c>
      <c r="C12" s="1">
        <f t="shared" si="1"/>
        <v>4.6166666666666663</v>
      </c>
      <c r="D12">
        <v>4388161847</v>
      </c>
      <c r="E12" s="2">
        <f t="shared" si="0"/>
        <v>6.71875</v>
      </c>
      <c r="F12" s="8" t="str">
        <f t="shared" si="2"/>
        <v>Sleep Deprived</v>
      </c>
      <c r="G12" t="str">
        <f t="shared" si="3"/>
        <v>Potential Customer</v>
      </c>
    </row>
    <row r="13" spans="1:9" x14ac:dyDescent="0.25">
      <c r="A13">
        <v>1503960366</v>
      </c>
      <c r="B13">
        <v>245</v>
      </c>
      <c r="C13" s="1">
        <f t="shared" si="1"/>
        <v>4.083333333333333</v>
      </c>
      <c r="D13">
        <v>4445114986</v>
      </c>
      <c r="E13" s="2">
        <f t="shared" si="0"/>
        <v>6.4196428571428568</v>
      </c>
      <c r="F13" s="8" t="str">
        <f t="shared" si="2"/>
        <v>Sleep Deprived</v>
      </c>
      <c r="G13" t="str">
        <f t="shared" si="3"/>
        <v>Potential Customer</v>
      </c>
    </row>
    <row r="14" spans="1:9" x14ac:dyDescent="0.25">
      <c r="A14">
        <v>1503960366</v>
      </c>
      <c r="B14">
        <v>366</v>
      </c>
      <c r="C14" s="1">
        <f t="shared" si="1"/>
        <v>6.1</v>
      </c>
      <c r="D14">
        <v>4558609924</v>
      </c>
      <c r="E14" s="2">
        <f t="shared" si="0"/>
        <v>2.1266666666666665</v>
      </c>
      <c r="F14" s="8" t="str">
        <f t="shared" si="2"/>
        <v>Sleep Deprived</v>
      </c>
      <c r="G14" t="str">
        <f t="shared" si="3"/>
        <v>Potential Customer</v>
      </c>
    </row>
    <row r="15" spans="1:9" x14ac:dyDescent="0.25">
      <c r="A15">
        <v>1503960366</v>
      </c>
      <c r="B15">
        <v>341</v>
      </c>
      <c r="C15" s="1">
        <f t="shared" si="1"/>
        <v>5.6833333333333336</v>
      </c>
      <c r="D15">
        <v>4702921684</v>
      </c>
      <c r="E15" s="2">
        <f t="shared" si="0"/>
        <v>7.0190476190476181</v>
      </c>
      <c r="F15" s="8" t="str">
        <f t="shared" si="2"/>
        <v>Good Sleep Schedule</v>
      </c>
      <c r="G15" t="str">
        <f t="shared" si="3"/>
        <v>Not</v>
      </c>
    </row>
    <row r="16" spans="1:9" x14ac:dyDescent="0.25">
      <c r="A16">
        <v>1503960366</v>
      </c>
      <c r="B16">
        <v>404</v>
      </c>
      <c r="C16" s="1">
        <f t="shared" si="1"/>
        <v>6.7333333333333334</v>
      </c>
      <c r="D16">
        <v>5553957443</v>
      </c>
      <c r="E16" s="2">
        <f t="shared" si="0"/>
        <v>7.7247311827956988</v>
      </c>
      <c r="F16" s="8" t="str">
        <f t="shared" si="2"/>
        <v>Good Sleep Schedule</v>
      </c>
      <c r="G16" t="str">
        <f t="shared" si="3"/>
        <v>Not</v>
      </c>
    </row>
    <row r="17" spans="1:7" x14ac:dyDescent="0.25">
      <c r="A17">
        <v>1503960366</v>
      </c>
      <c r="B17">
        <v>369</v>
      </c>
      <c r="C17" s="1">
        <f t="shared" si="1"/>
        <v>6.15</v>
      </c>
      <c r="D17">
        <v>5577150313</v>
      </c>
      <c r="E17" s="2">
        <f t="shared" si="0"/>
        <v>7.2000000000000011</v>
      </c>
      <c r="F17" s="8" t="str">
        <f t="shared" si="2"/>
        <v>Good Sleep Schedule</v>
      </c>
      <c r="G17" t="str">
        <f t="shared" si="3"/>
        <v>Not</v>
      </c>
    </row>
    <row r="18" spans="1:7" x14ac:dyDescent="0.25">
      <c r="A18">
        <v>1503960366</v>
      </c>
      <c r="B18">
        <v>277</v>
      </c>
      <c r="C18" s="1">
        <f t="shared" si="1"/>
        <v>4.6166666666666663</v>
      </c>
      <c r="D18">
        <v>6117666160</v>
      </c>
      <c r="E18" s="2">
        <f t="shared" si="0"/>
        <v>7.9796296296296294</v>
      </c>
      <c r="F18" s="8" t="str">
        <f t="shared" si="2"/>
        <v>Good Sleep Schedule</v>
      </c>
      <c r="G18" t="str">
        <f t="shared" si="3"/>
        <v>Not</v>
      </c>
    </row>
    <row r="19" spans="1:7" x14ac:dyDescent="0.25">
      <c r="A19">
        <v>1503960366</v>
      </c>
      <c r="B19">
        <v>273</v>
      </c>
      <c r="C19" s="1">
        <f t="shared" si="1"/>
        <v>4.55</v>
      </c>
      <c r="D19">
        <v>6775888955</v>
      </c>
      <c r="E19" s="2">
        <f t="shared" si="0"/>
        <v>5.8277777777777784</v>
      </c>
      <c r="F19" s="8" t="str">
        <f t="shared" si="2"/>
        <v>Sleep Deprived</v>
      </c>
      <c r="G19" t="str">
        <f t="shared" si="3"/>
        <v>Potential Customer</v>
      </c>
    </row>
    <row r="20" spans="1:7" x14ac:dyDescent="0.25">
      <c r="A20">
        <v>1503960366</v>
      </c>
      <c r="B20">
        <v>247</v>
      </c>
      <c r="C20" s="1">
        <f t="shared" si="1"/>
        <v>4.1166666666666663</v>
      </c>
      <c r="D20">
        <v>6962181067</v>
      </c>
      <c r="E20" s="2">
        <f t="shared" si="0"/>
        <v>7.4666666666666668</v>
      </c>
      <c r="F20" s="8" t="str">
        <f t="shared" si="2"/>
        <v>Good Sleep Schedule</v>
      </c>
      <c r="G20" t="str">
        <f t="shared" si="3"/>
        <v>Not</v>
      </c>
    </row>
    <row r="21" spans="1:7" x14ac:dyDescent="0.25">
      <c r="A21">
        <v>1503960366</v>
      </c>
      <c r="B21">
        <v>334</v>
      </c>
      <c r="C21" s="1">
        <f t="shared" si="1"/>
        <v>5.5666666666666664</v>
      </c>
      <c r="D21">
        <v>7007744171</v>
      </c>
      <c r="E21" s="2">
        <f t="shared" si="0"/>
        <v>1.1416666666666666</v>
      </c>
      <c r="F21" s="8" t="str">
        <f t="shared" si="2"/>
        <v>Sleep Deprived</v>
      </c>
      <c r="G21" t="str">
        <f t="shared" si="3"/>
        <v>Potential Customer</v>
      </c>
    </row>
    <row r="22" spans="1:7" x14ac:dyDescent="0.25">
      <c r="A22">
        <v>1503960366</v>
      </c>
      <c r="B22">
        <v>331</v>
      </c>
      <c r="C22" s="1">
        <f t="shared" si="1"/>
        <v>5.5166666666666666</v>
      </c>
      <c r="D22">
        <v>7086361926</v>
      </c>
      <c r="E22" s="2">
        <f t="shared" si="0"/>
        <v>7.5520833333333357</v>
      </c>
      <c r="F22" s="8" t="str">
        <f t="shared" si="2"/>
        <v>Good Sleep Schedule</v>
      </c>
      <c r="G22" t="str">
        <f t="shared" si="3"/>
        <v>Not</v>
      </c>
    </row>
    <row r="23" spans="1:7" x14ac:dyDescent="0.25">
      <c r="A23">
        <v>1503960366</v>
      </c>
      <c r="B23">
        <v>594</v>
      </c>
      <c r="C23" s="1">
        <f t="shared" si="1"/>
        <v>9.9</v>
      </c>
      <c r="D23">
        <v>8053475328</v>
      </c>
      <c r="E23" s="2">
        <f t="shared" si="0"/>
        <v>4.95</v>
      </c>
      <c r="F23" s="8" t="str">
        <f t="shared" si="2"/>
        <v>Sleep Deprived</v>
      </c>
      <c r="G23" t="str">
        <f t="shared" si="3"/>
        <v>Potential Customer</v>
      </c>
    </row>
    <row r="24" spans="1:7" x14ac:dyDescent="0.25">
      <c r="A24">
        <v>1503960366</v>
      </c>
      <c r="B24">
        <v>338</v>
      </c>
      <c r="C24" s="1">
        <f t="shared" si="1"/>
        <v>5.6333333333333337</v>
      </c>
      <c r="D24">
        <v>8378563200</v>
      </c>
      <c r="E24" s="2">
        <f t="shared" si="0"/>
        <v>7.3890624999999996</v>
      </c>
      <c r="F24" s="8" t="str">
        <f t="shared" si="2"/>
        <v>Good Sleep Schedule</v>
      </c>
      <c r="G24" t="str">
        <f t="shared" si="3"/>
        <v>Not</v>
      </c>
    </row>
    <row r="25" spans="1:7" x14ac:dyDescent="0.25">
      <c r="A25">
        <v>1503960366</v>
      </c>
      <c r="B25">
        <v>383</v>
      </c>
      <c r="C25" s="1">
        <f t="shared" si="1"/>
        <v>6.3833333333333337</v>
      </c>
      <c r="D25">
        <v>8792009665</v>
      </c>
      <c r="E25" s="2">
        <f t="shared" si="0"/>
        <v>7.2611111111111111</v>
      </c>
      <c r="F25" s="8" t="str">
        <f t="shared" si="2"/>
        <v>Good Sleep Schedule</v>
      </c>
      <c r="G25" t="str">
        <f t="shared" si="3"/>
        <v>Not</v>
      </c>
    </row>
    <row r="26" spans="1:7" x14ac:dyDescent="0.25">
      <c r="A26">
        <v>1503960366</v>
      </c>
      <c r="B26">
        <v>285</v>
      </c>
      <c r="C26" s="1">
        <f t="shared" si="1"/>
        <v>4.75</v>
      </c>
    </row>
    <row r="27" spans="1:7" x14ac:dyDescent="0.25">
      <c r="A27">
        <v>1644430081</v>
      </c>
      <c r="B27">
        <v>119</v>
      </c>
      <c r="C27" s="1">
        <f t="shared" si="1"/>
        <v>1.9833333333333334</v>
      </c>
    </row>
    <row r="28" spans="1:7" x14ac:dyDescent="0.25">
      <c r="A28">
        <v>1644430081</v>
      </c>
      <c r="B28">
        <v>124</v>
      </c>
      <c r="C28" s="1">
        <f t="shared" si="1"/>
        <v>2.0666666666666669</v>
      </c>
    </row>
    <row r="29" spans="1:7" x14ac:dyDescent="0.25">
      <c r="A29">
        <v>1644430081</v>
      </c>
      <c r="B29">
        <v>796</v>
      </c>
      <c r="C29" s="1">
        <f t="shared" si="1"/>
        <v>13.266666666666667</v>
      </c>
    </row>
    <row r="30" spans="1:7" x14ac:dyDescent="0.25">
      <c r="A30">
        <v>1644430081</v>
      </c>
      <c r="B30">
        <v>137</v>
      </c>
      <c r="C30" s="1">
        <f t="shared" si="1"/>
        <v>2.2833333333333332</v>
      </c>
    </row>
    <row r="31" spans="1:7" x14ac:dyDescent="0.25">
      <c r="A31">
        <v>1844505072</v>
      </c>
      <c r="B31">
        <v>644</v>
      </c>
      <c r="C31" s="1">
        <f t="shared" si="1"/>
        <v>10.733333333333333</v>
      </c>
    </row>
    <row r="32" spans="1:7" x14ac:dyDescent="0.25">
      <c r="A32">
        <v>1844505072</v>
      </c>
      <c r="B32">
        <v>722</v>
      </c>
      <c r="C32" s="1">
        <f t="shared" si="1"/>
        <v>12.033333333333333</v>
      </c>
    </row>
    <row r="33" spans="1:3" x14ac:dyDescent="0.25">
      <c r="A33">
        <v>1844505072</v>
      </c>
      <c r="B33">
        <v>590</v>
      </c>
      <c r="C33" s="1">
        <f t="shared" si="1"/>
        <v>9.8333333333333339</v>
      </c>
    </row>
    <row r="34" spans="1:3" x14ac:dyDescent="0.25">
      <c r="A34">
        <v>1927972279</v>
      </c>
      <c r="B34">
        <v>750</v>
      </c>
      <c r="C34" s="1">
        <f t="shared" si="1"/>
        <v>12.5</v>
      </c>
    </row>
    <row r="35" spans="1:3" x14ac:dyDescent="0.25">
      <c r="A35">
        <v>1927972279</v>
      </c>
      <c r="B35">
        <v>398</v>
      </c>
      <c r="C35" s="1">
        <f t="shared" si="1"/>
        <v>6.6333333333333337</v>
      </c>
    </row>
    <row r="36" spans="1:3" x14ac:dyDescent="0.25">
      <c r="A36">
        <v>1927972279</v>
      </c>
      <c r="B36">
        <v>475</v>
      </c>
      <c r="C36" s="1">
        <f t="shared" si="1"/>
        <v>7.916666666666667</v>
      </c>
    </row>
    <row r="37" spans="1:3" x14ac:dyDescent="0.25">
      <c r="A37">
        <v>1927972279</v>
      </c>
      <c r="B37">
        <v>296</v>
      </c>
      <c r="C37" s="1">
        <f t="shared" si="1"/>
        <v>4.9333333333333336</v>
      </c>
    </row>
    <row r="38" spans="1:3" x14ac:dyDescent="0.25">
      <c r="A38">
        <v>1927972279</v>
      </c>
      <c r="B38">
        <v>166</v>
      </c>
      <c r="C38" s="1">
        <f t="shared" si="1"/>
        <v>2.7666666666666666</v>
      </c>
    </row>
    <row r="39" spans="1:3" x14ac:dyDescent="0.25">
      <c r="A39">
        <v>2026352035</v>
      </c>
      <c r="B39">
        <v>503</v>
      </c>
      <c r="C39" s="1">
        <f t="shared" si="1"/>
        <v>8.3833333333333329</v>
      </c>
    </row>
    <row r="40" spans="1:3" x14ac:dyDescent="0.25">
      <c r="A40">
        <v>2026352035</v>
      </c>
      <c r="B40">
        <v>531</v>
      </c>
      <c r="C40" s="1">
        <f t="shared" si="1"/>
        <v>8.85</v>
      </c>
    </row>
    <row r="41" spans="1:3" x14ac:dyDescent="0.25">
      <c r="A41">
        <v>2026352035</v>
      </c>
      <c r="B41">
        <v>545</v>
      </c>
      <c r="C41" s="1">
        <f t="shared" si="1"/>
        <v>9.0833333333333339</v>
      </c>
    </row>
    <row r="42" spans="1:3" x14ac:dyDescent="0.25">
      <c r="A42">
        <v>2026352035</v>
      </c>
      <c r="B42">
        <v>523</v>
      </c>
      <c r="C42" s="1">
        <f t="shared" si="1"/>
        <v>8.7166666666666668</v>
      </c>
    </row>
    <row r="43" spans="1:3" x14ac:dyDescent="0.25">
      <c r="A43">
        <v>2026352035</v>
      </c>
      <c r="B43">
        <v>524</v>
      </c>
      <c r="C43" s="1">
        <f t="shared" si="1"/>
        <v>8.7333333333333325</v>
      </c>
    </row>
    <row r="44" spans="1:3" x14ac:dyDescent="0.25">
      <c r="A44">
        <v>2026352035</v>
      </c>
      <c r="B44">
        <v>437</v>
      </c>
      <c r="C44" s="1">
        <f t="shared" si="1"/>
        <v>7.2833333333333332</v>
      </c>
    </row>
    <row r="45" spans="1:3" x14ac:dyDescent="0.25">
      <c r="A45">
        <v>2026352035</v>
      </c>
      <c r="B45">
        <v>498</v>
      </c>
      <c r="C45" s="1">
        <f t="shared" si="1"/>
        <v>8.3000000000000007</v>
      </c>
    </row>
    <row r="46" spans="1:3" x14ac:dyDescent="0.25">
      <c r="A46">
        <v>2026352035</v>
      </c>
      <c r="B46">
        <v>461</v>
      </c>
      <c r="C46" s="1">
        <f t="shared" si="1"/>
        <v>7.6833333333333336</v>
      </c>
    </row>
    <row r="47" spans="1:3" x14ac:dyDescent="0.25">
      <c r="A47">
        <v>2026352035</v>
      </c>
      <c r="B47">
        <v>477</v>
      </c>
      <c r="C47" s="1">
        <f t="shared" si="1"/>
        <v>7.95</v>
      </c>
    </row>
    <row r="48" spans="1:3" x14ac:dyDescent="0.25">
      <c r="A48">
        <v>2026352035</v>
      </c>
      <c r="B48">
        <v>520</v>
      </c>
      <c r="C48" s="1">
        <f t="shared" si="1"/>
        <v>8.6666666666666661</v>
      </c>
    </row>
    <row r="49" spans="1:3" x14ac:dyDescent="0.25">
      <c r="A49">
        <v>2026352035</v>
      </c>
      <c r="B49">
        <v>522</v>
      </c>
      <c r="C49" s="1">
        <f t="shared" si="1"/>
        <v>8.6999999999999993</v>
      </c>
    </row>
    <row r="50" spans="1:3" x14ac:dyDescent="0.25">
      <c r="A50">
        <v>2026352035</v>
      </c>
      <c r="B50">
        <v>555</v>
      </c>
      <c r="C50" s="1">
        <f t="shared" si="1"/>
        <v>9.25</v>
      </c>
    </row>
    <row r="51" spans="1:3" x14ac:dyDescent="0.25">
      <c r="A51">
        <v>2026352035</v>
      </c>
      <c r="B51">
        <v>506</v>
      </c>
      <c r="C51" s="1">
        <f t="shared" si="1"/>
        <v>8.4333333333333336</v>
      </c>
    </row>
    <row r="52" spans="1:3" x14ac:dyDescent="0.25">
      <c r="A52">
        <v>2026352035</v>
      </c>
      <c r="B52">
        <v>508</v>
      </c>
      <c r="C52" s="1">
        <f t="shared" si="1"/>
        <v>8.4666666666666668</v>
      </c>
    </row>
    <row r="53" spans="1:3" x14ac:dyDescent="0.25">
      <c r="A53">
        <v>2026352035</v>
      </c>
      <c r="B53">
        <v>513</v>
      </c>
      <c r="C53" s="1">
        <f t="shared" si="1"/>
        <v>8.5500000000000007</v>
      </c>
    </row>
    <row r="54" spans="1:3" x14ac:dyDescent="0.25">
      <c r="A54">
        <v>2026352035</v>
      </c>
      <c r="B54">
        <v>490</v>
      </c>
      <c r="C54" s="1">
        <f t="shared" si="1"/>
        <v>8.1666666666666661</v>
      </c>
    </row>
    <row r="55" spans="1:3" x14ac:dyDescent="0.25">
      <c r="A55">
        <v>2026352035</v>
      </c>
      <c r="B55">
        <v>573</v>
      </c>
      <c r="C55" s="1">
        <f t="shared" si="1"/>
        <v>9.5500000000000007</v>
      </c>
    </row>
    <row r="56" spans="1:3" x14ac:dyDescent="0.25">
      <c r="A56">
        <v>2026352035</v>
      </c>
      <c r="B56">
        <v>527</v>
      </c>
      <c r="C56" s="1">
        <f t="shared" si="1"/>
        <v>8.7833333333333332</v>
      </c>
    </row>
    <row r="57" spans="1:3" x14ac:dyDescent="0.25">
      <c r="A57">
        <v>2026352035</v>
      </c>
      <c r="B57">
        <v>511</v>
      </c>
      <c r="C57" s="1">
        <f t="shared" si="1"/>
        <v>8.5166666666666675</v>
      </c>
    </row>
    <row r="58" spans="1:3" x14ac:dyDescent="0.25">
      <c r="A58">
        <v>2026352035</v>
      </c>
      <c r="B58">
        <v>538</v>
      </c>
      <c r="C58" s="1">
        <f t="shared" si="1"/>
        <v>8.9666666666666668</v>
      </c>
    </row>
    <row r="59" spans="1:3" x14ac:dyDescent="0.25">
      <c r="A59">
        <v>2026352035</v>
      </c>
      <c r="B59">
        <v>468</v>
      </c>
      <c r="C59" s="1">
        <f t="shared" si="1"/>
        <v>7.8</v>
      </c>
    </row>
    <row r="60" spans="1:3" x14ac:dyDescent="0.25">
      <c r="A60">
        <v>2026352035</v>
      </c>
      <c r="B60">
        <v>524</v>
      </c>
      <c r="C60" s="1">
        <f t="shared" si="1"/>
        <v>8.7333333333333325</v>
      </c>
    </row>
    <row r="61" spans="1:3" x14ac:dyDescent="0.25">
      <c r="A61">
        <v>2026352035</v>
      </c>
      <c r="B61">
        <v>511</v>
      </c>
      <c r="C61" s="1">
        <f t="shared" si="1"/>
        <v>8.5166666666666675</v>
      </c>
    </row>
    <row r="62" spans="1:3" x14ac:dyDescent="0.25">
      <c r="A62">
        <v>2026352035</v>
      </c>
      <c r="B62">
        <v>541</v>
      </c>
      <c r="C62" s="1">
        <f t="shared" si="1"/>
        <v>9.0166666666666675</v>
      </c>
    </row>
    <row r="63" spans="1:3" x14ac:dyDescent="0.25">
      <c r="A63">
        <v>2026352035</v>
      </c>
      <c r="B63">
        <v>531</v>
      </c>
      <c r="C63" s="1">
        <f t="shared" si="1"/>
        <v>8.85</v>
      </c>
    </row>
    <row r="64" spans="1:3" x14ac:dyDescent="0.25">
      <c r="A64">
        <v>2026352035</v>
      </c>
      <c r="B64">
        <v>357</v>
      </c>
      <c r="C64" s="1">
        <f t="shared" si="1"/>
        <v>5.95</v>
      </c>
    </row>
    <row r="65" spans="1:3" x14ac:dyDescent="0.25">
      <c r="A65">
        <v>2026352035</v>
      </c>
      <c r="B65">
        <v>523</v>
      </c>
      <c r="C65" s="1">
        <f t="shared" si="1"/>
        <v>8.7166666666666668</v>
      </c>
    </row>
    <row r="66" spans="1:3" x14ac:dyDescent="0.25">
      <c r="A66">
        <v>2026352035</v>
      </c>
      <c r="B66">
        <v>456</v>
      </c>
      <c r="C66" s="1">
        <f t="shared" si="1"/>
        <v>7.6</v>
      </c>
    </row>
    <row r="67" spans="1:3" x14ac:dyDescent="0.25">
      <c r="A67">
        <v>2320127002</v>
      </c>
      <c r="B67">
        <v>61</v>
      </c>
      <c r="C67" s="1">
        <f t="shared" ref="C67:C130" si="4">B67/60</f>
        <v>1.0166666666666666</v>
      </c>
    </row>
    <row r="68" spans="1:3" x14ac:dyDescent="0.25">
      <c r="A68">
        <v>2347167796</v>
      </c>
      <c r="B68">
        <v>467</v>
      </c>
      <c r="C68" s="1">
        <f t="shared" si="4"/>
        <v>7.7833333333333332</v>
      </c>
    </row>
    <row r="69" spans="1:3" x14ac:dyDescent="0.25">
      <c r="A69">
        <v>2347167796</v>
      </c>
      <c r="B69">
        <v>445</v>
      </c>
      <c r="C69" s="1">
        <f t="shared" si="4"/>
        <v>7.416666666666667</v>
      </c>
    </row>
    <row r="70" spans="1:3" x14ac:dyDescent="0.25">
      <c r="A70">
        <v>2347167796</v>
      </c>
      <c r="B70">
        <v>452</v>
      </c>
      <c r="C70" s="1">
        <f t="shared" si="4"/>
        <v>7.5333333333333332</v>
      </c>
    </row>
    <row r="71" spans="1:3" x14ac:dyDescent="0.25">
      <c r="A71">
        <v>2347167796</v>
      </c>
      <c r="B71">
        <v>556</v>
      </c>
      <c r="C71" s="1">
        <f t="shared" si="4"/>
        <v>9.2666666666666675</v>
      </c>
    </row>
    <row r="72" spans="1:3" x14ac:dyDescent="0.25">
      <c r="A72">
        <v>2347167796</v>
      </c>
      <c r="B72">
        <v>500</v>
      </c>
      <c r="C72" s="1">
        <f t="shared" si="4"/>
        <v>8.3333333333333339</v>
      </c>
    </row>
    <row r="73" spans="1:3" x14ac:dyDescent="0.25">
      <c r="A73">
        <v>2347167796</v>
      </c>
      <c r="B73">
        <v>465</v>
      </c>
      <c r="C73" s="1">
        <f t="shared" si="4"/>
        <v>7.75</v>
      </c>
    </row>
    <row r="74" spans="1:3" x14ac:dyDescent="0.25">
      <c r="A74">
        <v>2347167796</v>
      </c>
      <c r="B74">
        <v>460</v>
      </c>
      <c r="C74" s="1">
        <f t="shared" si="4"/>
        <v>7.666666666666667</v>
      </c>
    </row>
    <row r="75" spans="1:3" x14ac:dyDescent="0.25">
      <c r="A75">
        <v>2347167796</v>
      </c>
      <c r="B75">
        <v>405</v>
      </c>
      <c r="C75" s="1">
        <f t="shared" si="4"/>
        <v>6.75</v>
      </c>
    </row>
    <row r="76" spans="1:3" x14ac:dyDescent="0.25">
      <c r="A76">
        <v>2347167796</v>
      </c>
      <c r="B76">
        <v>374</v>
      </c>
      <c r="C76" s="1">
        <f t="shared" si="4"/>
        <v>6.2333333333333334</v>
      </c>
    </row>
    <row r="77" spans="1:3" x14ac:dyDescent="0.25">
      <c r="A77">
        <v>2347167796</v>
      </c>
      <c r="B77">
        <v>442</v>
      </c>
      <c r="C77" s="1">
        <f t="shared" si="4"/>
        <v>7.3666666666666663</v>
      </c>
    </row>
    <row r="78" spans="1:3" x14ac:dyDescent="0.25">
      <c r="A78">
        <v>2347167796</v>
      </c>
      <c r="B78">
        <v>433</v>
      </c>
      <c r="C78" s="1">
        <f t="shared" si="4"/>
        <v>7.2166666666666668</v>
      </c>
    </row>
    <row r="79" spans="1:3" x14ac:dyDescent="0.25">
      <c r="A79">
        <v>2347167796</v>
      </c>
      <c r="B79">
        <v>436</v>
      </c>
      <c r="C79" s="1">
        <f t="shared" si="4"/>
        <v>7.2666666666666666</v>
      </c>
    </row>
    <row r="80" spans="1:3" x14ac:dyDescent="0.25">
      <c r="A80">
        <v>2347167796</v>
      </c>
      <c r="B80">
        <v>448</v>
      </c>
      <c r="C80" s="1">
        <f t="shared" si="4"/>
        <v>7.4666666666666668</v>
      </c>
    </row>
    <row r="81" spans="1:3" x14ac:dyDescent="0.25">
      <c r="A81">
        <v>2347167796</v>
      </c>
      <c r="B81">
        <v>408</v>
      </c>
      <c r="C81" s="1">
        <f t="shared" si="4"/>
        <v>6.8</v>
      </c>
    </row>
    <row r="82" spans="1:3" x14ac:dyDescent="0.25">
      <c r="A82">
        <v>2347167796</v>
      </c>
      <c r="B82">
        <v>411</v>
      </c>
      <c r="C82" s="1">
        <f t="shared" si="4"/>
        <v>6.85</v>
      </c>
    </row>
    <row r="83" spans="1:3" x14ac:dyDescent="0.25">
      <c r="A83">
        <v>3977333714</v>
      </c>
      <c r="B83">
        <v>274</v>
      </c>
      <c r="C83" s="1">
        <f t="shared" si="4"/>
        <v>4.5666666666666664</v>
      </c>
    </row>
    <row r="84" spans="1:3" x14ac:dyDescent="0.25">
      <c r="A84">
        <v>3977333714</v>
      </c>
      <c r="B84">
        <v>295</v>
      </c>
      <c r="C84" s="1">
        <f t="shared" si="4"/>
        <v>4.916666666666667</v>
      </c>
    </row>
    <row r="85" spans="1:3" x14ac:dyDescent="0.25">
      <c r="A85">
        <v>3977333714</v>
      </c>
      <c r="B85">
        <v>291</v>
      </c>
      <c r="C85" s="1">
        <f t="shared" si="4"/>
        <v>4.8499999999999996</v>
      </c>
    </row>
    <row r="86" spans="1:3" x14ac:dyDescent="0.25">
      <c r="A86">
        <v>3977333714</v>
      </c>
      <c r="B86">
        <v>424</v>
      </c>
      <c r="C86" s="1">
        <f t="shared" si="4"/>
        <v>7.0666666666666664</v>
      </c>
    </row>
    <row r="87" spans="1:3" x14ac:dyDescent="0.25">
      <c r="A87">
        <v>3977333714</v>
      </c>
      <c r="B87">
        <v>283</v>
      </c>
      <c r="C87" s="1">
        <f t="shared" si="4"/>
        <v>4.7166666666666668</v>
      </c>
    </row>
    <row r="88" spans="1:3" x14ac:dyDescent="0.25">
      <c r="A88">
        <v>3977333714</v>
      </c>
      <c r="B88">
        <v>381</v>
      </c>
      <c r="C88" s="1">
        <f t="shared" si="4"/>
        <v>6.35</v>
      </c>
    </row>
    <row r="89" spans="1:3" x14ac:dyDescent="0.25">
      <c r="A89">
        <v>3977333714</v>
      </c>
      <c r="B89">
        <v>412</v>
      </c>
      <c r="C89" s="1">
        <f t="shared" si="4"/>
        <v>6.8666666666666663</v>
      </c>
    </row>
    <row r="90" spans="1:3" x14ac:dyDescent="0.25">
      <c r="A90">
        <v>3977333714</v>
      </c>
      <c r="B90">
        <v>219</v>
      </c>
      <c r="C90" s="1">
        <f t="shared" si="4"/>
        <v>3.65</v>
      </c>
    </row>
    <row r="91" spans="1:3" x14ac:dyDescent="0.25">
      <c r="A91">
        <v>3977333714</v>
      </c>
      <c r="B91">
        <v>152</v>
      </c>
      <c r="C91" s="1">
        <f t="shared" si="4"/>
        <v>2.5333333333333332</v>
      </c>
    </row>
    <row r="92" spans="1:3" x14ac:dyDescent="0.25">
      <c r="A92">
        <v>3977333714</v>
      </c>
      <c r="B92">
        <v>332</v>
      </c>
      <c r="C92" s="1">
        <f t="shared" si="4"/>
        <v>5.5333333333333332</v>
      </c>
    </row>
    <row r="93" spans="1:3" x14ac:dyDescent="0.25">
      <c r="A93">
        <v>3977333714</v>
      </c>
      <c r="B93">
        <v>355</v>
      </c>
      <c r="C93" s="1">
        <f t="shared" si="4"/>
        <v>5.916666666666667</v>
      </c>
    </row>
    <row r="94" spans="1:3" x14ac:dyDescent="0.25">
      <c r="A94">
        <v>3977333714</v>
      </c>
      <c r="B94">
        <v>235</v>
      </c>
      <c r="C94" s="1">
        <f t="shared" si="4"/>
        <v>3.9166666666666665</v>
      </c>
    </row>
    <row r="95" spans="1:3" x14ac:dyDescent="0.25">
      <c r="A95">
        <v>3977333714</v>
      </c>
      <c r="B95">
        <v>310</v>
      </c>
      <c r="C95" s="1">
        <f t="shared" si="4"/>
        <v>5.166666666666667</v>
      </c>
    </row>
    <row r="96" spans="1:3" x14ac:dyDescent="0.25">
      <c r="A96">
        <v>3977333714</v>
      </c>
      <c r="B96">
        <v>262</v>
      </c>
      <c r="C96" s="1">
        <f t="shared" si="4"/>
        <v>4.3666666666666663</v>
      </c>
    </row>
    <row r="97" spans="1:3" x14ac:dyDescent="0.25">
      <c r="A97">
        <v>3977333714</v>
      </c>
      <c r="B97">
        <v>250</v>
      </c>
      <c r="C97" s="1">
        <f t="shared" si="4"/>
        <v>4.166666666666667</v>
      </c>
    </row>
    <row r="98" spans="1:3" x14ac:dyDescent="0.25">
      <c r="A98">
        <v>3977333714</v>
      </c>
      <c r="B98">
        <v>349</v>
      </c>
      <c r="C98" s="1">
        <f t="shared" si="4"/>
        <v>5.8166666666666664</v>
      </c>
    </row>
    <row r="99" spans="1:3" x14ac:dyDescent="0.25">
      <c r="A99">
        <v>3977333714</v>
      </c>
      <c r="B99">
        <v>261</v>
      </c>
      <c r="C99" s="1">
        <f t="shared" si="4"/>
        <v>4.3499999999999996</v>
      </c>
    </row>
    <row r="100" spans="1:3" x14ac:dyDescent="0.25">
      <c r="A100">
        <v>3977333714</v>
      </c>
      <c r="B100">
        <v>333</v>
      </c>
      <c r="C100" s="1">
        <f t="shared" si="4"/>
        <v>5.55</v>
      </c>
    </row>
    <row r="101" spans="1:3" x14ac:dyDescent="0.25">
      <c r="A101">
        <v>3977333714</v>
      </c>
      <c r="B101">
        <v>237</v>
      </c>
      <c r="C101" s="1">
        <f t="shared" si="4"/>
        <v>3.95</v>
      </c>
    </row>
    <row r="102" spans="1:3" x14ac:dyDescent="0.25">
      <c r="A102">
        <v>3977333714</v>
      </c>
      <c r="B102">
        <v>383</v>
      </c>
      <c r="C102" s="1">
        <f t="shared" si="4"/>
        <v>6.3833333333333337</v>
      </c>
    </row>
    <row r="103" spans="1:3" x14ac:dyDescent="0.25">
      <c r="A103">
        <v>3977333714</v>
      </c>
      <c r="B103">
        <v>230</v>
      </c>
      <c r="C103" s="1">
        <f t="shared" si="4"/>
        <v>3.8333333333333335</v>
      </c>
    </row>
    <row r="104" spans="1:3" x14ac:dyDescent="0.25">
      <c r="A104">
        <v>3977333714</v>
      </c>
      <c r="B104">
        <v>292</v>
      </c>
      <c r="C104" s="1">
        <f t="shared" si="4"/>
        <v>4.8666666666666663</v>
      </c>
    </row>
    <row r="105" spans="1:3" x14ac:dyDescent="0.25">
      <c r="A105">
        <v>3977333714</v>
      </c>
      <c r="B105">
        <v>213</v>
      </c>
      <c r="C105" s="1">
        <f t="shared" si="4"/>
        <v>3.55</v>
      </c>
    </row>
    <row r="106" spans="1:3" x14ac:dyDescent="0.25">
      <c r="A106">
        <v>3977333714</v>
      </c>
      <c r="B106">
        <v>318</v>
      </c>
      <c r="C106" s="1">
        <f t="shared" si="4"/>
        <v>5.3</v>
      </c>
    </row>
    <row r="107" spans="1:3" x14ac:dyDescent="0.25">
      <c r="A107">
        <v>3977333714</v>
      </c>
      <c r="B107">
        <v>323</v>
      </c>
      <c r="C107" s="1">
        <f t="shared" si="4"/>
        <v>5.3833333333333337</v>
      </c>
    </row>
    <row r="108" spans="1:3" x14ac:dyDescent="0.25">
      <c r="A108">
        <v>3977333714</v>
      </c>
      <c r="B108">
        <v>237</v>
      </c>
      <c r="C108" s="1">
        <f t="shared" si="4"/>
        <v>3.95</v>
      </c>
    </row>
    <row r="109" spans="1:3" x14ac:dyDescent="0.25">
      <c r="A109">
        <v>3977333714</v>
      </c>
      <c r="B109">
        <v>259</v>
      </c>
      <c r="C109" s="1">
        <f t="shared" si="4"/>
        <v>4.3166666666666664</v>
      </c>
    </row>
    <row r="110" spans="1:3" x14ac:dyDescent="0.25">
      <c r="A110">
        <v>3977333714</v>
      </c>
      <c r="B110">
        <v>312</v>
      </c>
      <c r="C110" s="1">
        <f t="shared" si="4"/>
        <v>5.2</v>
      </c>
    </row>
    <row r="111" spans="1:3" x14ac:dyDescent="0.25">
      <c r="A111">
        <v>4020332650</v>
      </c>
      <c r="B111">
        <v>501</v>
      </c>
      <c r="C111" s="1">
        <f t="shared" si="4"/>
        <v>8.35</v>
      </c>
    </row>
    <row r="112" spans="1:3" x14ac:dyDescent="0.25">
      <c r="A112">
        <v>4020332650</v>
      </c>
      <c r="B112">
        <v>77</v>
      </c>
      <c r="C112" s="1">
        <f t="shared" si="4"/>
        <v>1.2833333333333334</v>
      </c>
    </row>
    <row r="113" spans="1:3" x14ac:dyDescent="0.25">
      <c r="A113">
        <v>4020332650</v>
      </c>
      <c r="B113">
        <v>322</v>
      </c>
      <c r="C113" s="1">
        <f t="shared" si="4"/>
        <v>5.3666666666666663</v>
      </c>
    </row>
    <row r="114" spans="1:3" x14ac:dyDescent="0.25">
      <c r="A114">
        <v>4020332650</v>
      </c>
      <c r="B114">
        <v>478</v>
      </c>
      <c r="C114" s="1">
        <f t="shared" si="4"/>
        <v>7.9666666666666668</v>
      </c>
    </row>
    <row r="115" spans="1:3" x14ac:dyDescent="0.25">
      <c r="A115">
        <v>4020332650</v>
      </c>
      <c r="B115">
        <v>226</v>
      </c>
      <c r="C115" s="1">
        <f t="shared" si="4"/>
        <v>3.7666666666666666</v>
      </c>
    </row>
    <row r="116" spans="1:3" x14ac:dyDescent="0.25">
      <c r="A116">
        <v>4020332650</v>
      </c>
      <c r="B116">
        <v>385</v>
      </c>
      <c r="C116" s="1">
        <f t="shared" si="4"/>
        <v>6.416666666666667</v>
      </c>
    </row>
    <row r="117" spans="1:3" x14ac:dyDescent="0.25">
      <c r="A117">
        <v>4020332650</v>
      </c>
      <c r="B117">
        <v>364</v>
      </c>
      <c r="C117" s="1">
        <f t="shared" si="4"/>
        <v>6.0666666666666664</v>
      </c>
    </row>
    <row r="118" spans="1:3" x14ac:dyDescent="0.25">
      <c r="A118">
        <v>4020332650</v>
      </c>
      <c r="B118">
        <v>442</v>
      </c>
      <c r="C118" s="1">
        <f t="shared" si="4"/>
        <v>7.3666666666666663</v>
      </c>
    </row>
    <row r="119" spans="1:3" x14ac:dyDescent="0.25">
      <c r="A119">
        <v>4319703577</v>
      </c>
      <c r="B119">
        <v>535</v>
      </c>
      <c r="C119" s="1">
        <f t="shared" si="4"/>
        <v>8.9166666666666661</v>
      </c>
    </row>
    <row r="120" spans="1:3" x14ac:dyDescent="0.25">
      <c r="A120">
        <v>4319703577</v>
      </c>
      <c r="B120">
        <v>465</v>
      </c>
      <c r="C120" s="1">
        <f t="shared" si="4"/>
        <v>7.75</v>
      </c>
    </row>
    <row r="121" spans="1:3" x14ac:dyDescent="0.25">
      <c r="A121">
        <v>4319703577</v>
      </c>
      <c r="B121">
        <v>506</v>
      </c>
      <c r="C121" s="1">
        <f t="shared" si="4"/>
        <v>8.4333333333333336</v>
      </c>
    </row>
    <row r="122" spans="1:3" x14ac:dyDescent="0.25">
      <c r="A122">
        <v>4319703577</v>
      </c>
      <c r="B122">
        <v>515</v>
      </c>
      <c r="C122" s="1">
        <f t="shared" si="4"/>
        <v>8.5833333333333339</v>
      </c>
    </row>
    <row r="123" spans="1:3" x14ac:dyDescent="0.25">
      <c r="A123">
        <v>4319703577</v>
      </c>
      <c r="B123">
        <v>461</v>
      </c>
      <c r="C123" s="1">
        <f t="shared" si="4"/>
        <v>7.6833333333333336</v>
      </c>
    </row>
    <row r="124" spans="1:3" x14ac:dyDescent="0.25">
      <c r="A124">
        <v>4319703577</v>
      </c>
      <c r="B124">
        <v>523</v>
      </c>
      <c r="C124" s="1">
        <f t="shared" si="4"/>
        <v>8.7166666666666668</v>
      </c>
    </row>
    <row r="125" spans="1:3" x14ac:dyDescent="0.25">
      <c r="A125">
        <v>4319703577</v>
      </c>
      <c r="B125">
        <v>59</v>
      </c>
      <c r="C125" s="1">
        <f t="shared" si="4"/>
        <v>0.98333333333333328</v>
      </c>
    </row>
    <row r="126" spans="1:3" x14ac:dyDescent="0.25">
      <c r="A126">
        <v>4319703577</v>
      </c>
      <c r="B126">
        <v>533</v>
      </c>
      <c r="C126" s="1">
        <f t="shared" si="4"/>
        <v>8.8833333333333329</v>
      </c>
    </row>
    <row r="127" spans="1:3" x14ac:dyDescent="0.25">
      <c r="A127">
        <v>4319703577</v>
      </c>
      <c r="B127">
        <v>692</v>
      </c>
      <c r="C127" s="1">
        <f t="shared" si="4"/>
        <v>11.533333333333333</v>
      </c>
    </row>
    <row r="128" spans="1:3" x14ac:dyDescent="0.25">
      <c r="A128">
        <v>4319703577</v>
      </c>
      <c r="B128">
        <v>467</v>
      </c>
      <c r="C128" s="1">
        <f t="shared" si="4"/>
        <v>7.7833333333333332</v>
      </c>
    </row>
    <row r="129" spans="1:3" x14ac:dyDescent="0.25">
      <c r="A129">
        <v>4319703577</v>
      </c>
      <c r="B129">
        <v>488</v>
      </c>
      <c r="C129" s="1">
        <f t="shared" si="4"/>
        <v>8.1333333333333329</v>
      </c>
    </row>
    <row r="130" spans="1:3" x14ac:dyDescent="0.25">
      <c r="A130">
        <v>4319703577</v>
      </c>
      <c r="B130">
        <v>505</v>
      </c>
      <c r="C130" s="1">
        <f t="shared" si="4"/>
        <v>8.4166666666666661</v>
      </c>
    </row>
    <row r="131" spans="1:3" x14ac:dyDescent="0.25">
      <c r="A131">
        <v>4319703577</v>
      </c>
      <c r="B131">
        <v>286</v>
      </c>
      <c r="C131" s="1">
        <f t="shared" ref="C131:C194" si="5">B131/60</f>
        <v>4.7666666666666666</v>
      </c>
    </row>
    <row r="132" spans="1:3" x14ac:dyDescent="0.25">
      <c r="A132">
        <v>4319703577</v>
      </c>
      <c r="B132">
        <v>497</v>
      </c>
      <c r="C132" s="1">
        <f t="shared" si="5"/>
        <v>8.2833333333333332</v>
      </c>
    </row>
    <row r="133" spans="1:3" x14ac:dyDescent="0.25">
      <c r="A133">
        <v>4319703577</v>
      </c>
      <c r="B133">
        <v>523</v>
      </c>
      <c r="C133" s="1">
        <f t="shared" si="5"/>
        <v>8.7166666666666668</v>
      </c>
    </row>
    <row r="134" spans="1:3" x14ac:dyDescent="0.25">
      <c r="A134">
        <v>4319703577</v>
      </c>
      <c r="B134">
        <v>490</v>
      </c>
      <c r="C134" s="1">
        <f t="shared" si="5"/>
        <v>8.1666666666666661</v>
      </c>
    </row>
    <row r="135" spans="1:3" x14ac:dyDescent="0.25">
      <c r="A135">
        <v>4319703577</v>
      </c>
      <c r="B135">
        <v>484</v>
      </c>
      <c r="C135" s="1">
        <f t="shared" si="5"/>
        <v>8.0666666666666664</v>
      </c>
    </row>
    <row r="136" spans="1:3" x14ac:dyDescent="0.25">
      <c r="A136">
        <v>4319703577</v>
      </c>
      <c r="B136">
        <v>478</v>
      </c>
      <c r="C136" s="1">
        <f t="shared" si="5"/>
        <v>7.9666666666666668</v>
      </c>
    </row>
    <row r="137" spans="1:3" x14ac:dyDescent="0.25">
      <c r="A137">
        <v>4319703577</v>
      </c>
      <c r="B137">
        <v>474</v>
      </c>
      <c r="C137" s="1">
        <f t="shared" si="5"/>
        <v>7.9</v>
      </c>
    </row>
    <row r="138" spans="1:3" x14ac:dyDescent="0.25">
      <c r="A138">
        <v>4319703577</v>
      </c>
      <c r="B138">
        <v>450</v>
      </c>
      <c r="C138" s="1">
        <f t="shared" si="5"/>
        <v>7.5</v>
      </c>
    </row>
    <row r="139" spans="1:3" x14ac:dyDescent="0.25">
      <c r="A139">
        <v>4319703577</v>
      </c>
      <c r="B139">
        <v>507</v>
      </c>
      <c r="C139" s="1">
        <f t="shared" si="5"/>
        <v>8.4499999999999993</v>
      </c>
    </row>
    <row r="140" spans="1:3" x14ac:dyDescent="0.25">
      <c r="A140">
        <v>4319703577</v>
      </c>
      <c r="B140">
        <v>602</v>
      </c>
      <c r="C140" s="1">
        <f t="shared" si="5"/>
        <v>10.033333333333333</v>
      </c>
    </row>
    <row r="141" spans="1:3" x14ac:dyDescent="0.25">
      <c r="A141">
        <v>4319703577</v>
      </c>
      <c r="B141">
        <v>535</v>
      </c>
      <c r="C141" s="1">
        <f t="shared" si="5"/>
        <v>8.9166666666666661</v>
      </c>
    </row>
    <row r="142" spans="1:3" x14ac:dyDescent="0.25">
      <c r="A142">
        <v>4319703577</v>
      </c>
      <c r="B142">
        <v>487</v>
      </c>
      <c r="C142" s="1">
        <f t="shared" si="5"/>
        <v>8.1166666666666671</v>
      </c>
    </row>
    <row r="143" spans="1:3" x14ac:dyDescent="0.25">
      <c r="A143">
        <v>4319703577</v>
      </c>
      <c r="B143">
        <v>529</v>
      </c>
      <c r="C143" s="1">
        <f t="shared" si="5"/>
        <v>8.8166666666666664</v>
      </c>
    </row>
    <row r="144" spans="1:3" x14ac:dyDescent="0.25">
      <c r="A144">
        <v>4319703577</v>
      </c>
      <c r="B144">
        <v>302</v>
      </c>
      <c r="C144" s="1">
        <f t="shared" si="5"/>
        <v>5.0333333333333332</v>
      </c>
    </row>
    <row r="145" spans="1:3" x14ac:dyDescent="0.25">
      <c r="A145">
        <v>4388161847</v>
      </c>
      <c r="B145">
        <v>499</v>
      </c>
      <c r="C145" s="1">
        <f t="shared" si="5"/>
        <v>8.3166666666666664</v>
      </c>
    </row>
    <row r="146" spans="1:3" x14ac:dyDescent="0.25">
      <c r="A146">
        <v>4388161847</v>
      </c>
      <c r="B146">
        <v>426</v>
      </c>
      <c r="C146" s="1">
        <f t="shared" si="5"/>
        <v>7.1</v>
      </c>
    </row>
    <row r="147" spans="1:3" x14ac:dyDescent="0.25">
      <c r="A147">
        <v>4388161847</v>
      </c>
      <c r="B147">
        <v>619</v>
      </c>
      <c r="C147" s="1">
        <f t="shared" si="5"/>
        <v>10.316666666666666</v>
      </c>
    </row>
    <row r="148" spans="1:3" x14ac:dyDescent="0.25">
      <c r="A148">
        <v>4388161847</v>
      </c>
      <c r="B148">
        <v>99</v>
      </c>
      <c r="C148" s="1">
        <f t="shared" si="5"/>
        <v>1.65</v>
      </c>
    </row>
    <row r="149" spans="1:3" x14ac:dyDescent="0.25">
      <c r="A149">
        <v>4388161847</v>
      </c>
      <c r="B149">
        <v>329</v>
      </c>
      <c r="C149" s="1">
        <f t="shared" si="5"/>
        <v>5.4833333333333334</v>
      </c>
    </row>
    <row r="150" spans="1:3" x14ac:dyDescent="0.25">
      <c r="A150">
        <v>4388161847</v>
      </c>
      <c r="B150">
        <v>421</v>
      </c>
      <c r="C150" s="1">
        <f t="shared" si="5"/>
        <v>7.0166666666666666</v>
      </c>
    </row>
    <row r="151" spans="1:3" x14ac:dyDescent="0.25">
      <c r="A151">
        <v>4388161847</v>
      </c>
      <c r="B151">
        <v>442</v>
      </c>
      <c r="C151" s="1">
        <f t="shared" si="5"/>
        <v>7.3666666666666663</v>
      </c>
    </row>
    <row r="152" spans="1:3" x14ac:dyDescent="0.25">
      <c r="A152">
        <v>4388161847</v>
      </c>
      <c r="B152">
        <v>82</v>
      </c>
      <c r="C152" s="1">
        <f t="shared" si="5"/>
        <v>1.3666666666666667</v>
      </c>
    </row>
    <row r="153" spans="1:3" x14ac:dyDescent="0.25">
      <c r="A153">
        <v>4388161847</v>
      </c>
      <c r="B153">
        <v>478</v>
      </c>
      <c r="C153" s="1">
        <f t="shared" si="5"/>
        <v>7.9666666666666668</v>
      </c>
    </row>
    <row r="154" spans="1:3" x14ac:dyDescent="0.25">
      <c r="A154">
        <v>4388161847</v>
      </c>
      <c r="B154">
        <v>552</v>
      </c>
      <c r="C154" s="1">
        <f t="shared" si="5"/>
        <v>9.1999999999999993</v>
      </c>
    </row>
    <row r="155" spans="1:3" x14ac:dyDescent="0.25">
      <c r="A155">
        <v>4388161847</v>
      </c>
      <c r="B155">
        <v>319</v>
      </c>
      <c r="C155" s="1">
        <f t="shared" si="5"/>
        <v>5.3166666666666664</v>
      </c>
    </row>
    <row r="156" spans="1:3" x14ac:dyDescent="0.25">
      <c r="A156">
        <v>4388161847</v>
      </c>
      <c r="B156">
        <v>439</v>
      </c>
      <c r="C156" s="1">
        <f t="shared" si="5"/>
        <v>7.3166666666666664</v>
      </c>
    </row>
    <row r="157" spans="1:3" x14ac:dyDescent="0.25">
      <c r="A157">
        <v>4388161847</v>
      </c>
      <c r="B157">
        <v>428</v>
      </c>
      <c r="C157" s="1">
        <f t="shared" si="5"/>
        <v>7.1333333333333337</v>
      </c>
    </row>
    <row r="158" spans="1:3" x14ac:dyDescent="0.25">
      <c r="A158">
        <v>4388161847</v>
      </c>
      <c r="B158">
        <v>409</v>
      </c>
      <c r="C158" s="1">
        <f t="shared" si="5"/>
        <v>6.8166666666666664</v>
      </c>
    </row>
    <row r="159" spans="1:3" x14ac:dyDescent="0.25">
      <c r="A159">
        <v>4388161847</v>
      </c>
      <c r="B159">
        <v>547</v>
      </c>
      <c r="C159" s="1">
        <f t="shared" si="5"/>
        <v>9.1166666666666671</v>
      </c>
    </row>
    <row r="160" spans="1:3" x14ac:dyDescent="0.25">
      <c r="A160">
        <v>4388161847</v>
      </c>
      <c r="B160">
        <v>368</v>
      </c>
      <c r="C160" s="1">
        <f t="shared" si="5"/>
        <v>6.1333333333333337</v>
      </c>
    </row>
    <row r="161" spans="1:3" x14ac:dyDescent="0.25">
      <c r="A161">
        <v>4388161847</v>
      </c>
      <c r="B161">
        <v>390</v>
      </c>
      <c r="C161" s="1">
        <f t="shared" si="5"/>
        <v>6.5</v>
      </c>
    </row>
    <row r="162" spans="1:3" x14ac:dyDescent="0.25">
      <c r="A162">
        <v>4388161847</v>
      </c>
      <c r="B162">
        <v>471</v>
      </c>
      <c r="C162" s="1">
        <f t="shared" si="5"/>
        <v>7.85</v>
      </c>
    </row>
    <row r="163" spans="1:3" x14ac:dyDescent="0.25">
      <c r="A163">
        <v>4388161847</v>
      </c>
      <c r="B163">
        <v>471</v>
      </c>
      <c r="C163" s="1">
        <f t="shared" si="5"/>
        <v>7.85</v>
      </c>
    </row>
    <row r="164" spans="1:3" x14ac:dyDescent="0.25">
      <c r="A164">
        <v>4388161847</v>
      </c>
      <c r="B164">
        <v>472</v>
      </c>
      <c r="C164" s="1">
        <f t="shared" si="5"/>
        <v>7.8666666666666663</v>
      </c>
    </row>
    <row r="165" spans="1:3" x14ac:dyDescent="0.25">
      <c r="A165">
        <v>4388161847</v>
      </c>
      <c r="B165">
        <v>529</v>
      </c>
      <c r="C165" s="1">
        <f t="shared" si="5"/>
        <v>8.8166666666666664</v>
      </c>
    </row>
    <row r="166" spans="1:3" x14ac:dyDescent="0.25">
      <c r="A166">
        <v>4388161847</v>
      </c>
      <c r="B166">
        <v>62</v>
      </c>
      <c r="C166" s="1">
        <f t="shared" si="5"/>
        <v>1.0333333333333334</v>
      </c>
    </row>
    <row r="167" spans="1:3" x14ac:dyDescent="0.25">
      <c r="A167">
        <v>4388161847</v>
      </c>
      <c r="B167">
        <v>354</v>
      </c>
      <c r="C167" s="1">
        <f t="shared" si="5"/>
        <v>5.9</v>
      </c>
    </row>
    <row r="168" spans="1:3" x14ac:dyDescent="0.25">
      <c r="A168">
        <v>4388161847</v>
      </c>
      <c r="B168">
        <v>469</v>
      </c>
      <c r="C168" s="1">
        <f t="shared" si="5"/>
        <v>7.8166666666666664</v>
      </c>
    </row>
    <row r="169" spans="1:3" x14ac:dyDescent="0.25">
      <c r="A169">
        <v>4445114986</v>
      </c>
      <c r="B169">
        <v>429</v>
      </c>
      <c r="C169" s="1">
        <f t="shared" si="5"/>
        <v>7.15</v>
      </c>
    </row>
    <row r="170" spans="1:3" x14ac:dyDescent="0.25">
      <c r="A170">
        <v>4445114986</v>
      </c>
      <c r="B170">
        <v>370</v>
      </c>
      <c r="C170" s="1">
        <f t="shared" si="5"/>
        <v>6.166666666666667</v>
      </c>
    </row>
    <row r="171" spans="1:3" x14ac:dyDescent="0.25">
      <c r="A171">
        <v>4445114986</v>
      </c>
      <c r="B171">
        <v>441</v>
      </c>
      <c r="C171" s="1">
        <f t="shared" si="5"/>
        <v>7.35</v>
      </c>
    </row>
    <row r="172" spans="1:3" x14ac:dyDescent="0.25">
      <c r="A172">
        <v>4445114986</v>
      </c>
      <c r="B172">
        <v>337</v>
      </c>
      <c r="C172" s="1">
        <f t="shared" si="5"/>
        <v>5.6166666666666663</v>
      </c>
    </row>
    <row r="173" spans="1:3" x14ac:dyDescent="0.25">
      <c r="A173">
        <v>4445114986</v>
      </c>
      <c r="B173">
        <v>462</v>
      </c>
      <c r="C173" s="1">
        <f t="shared" si="5"/>
        <v>7.7</v>
      </c>
    </row>
    <row r="174" spans="1:3" x14ac:dyDescent="0.25">
      <c r="A174">
        <v>4445114986</v>
      </c>
      <c r="B174">
        <v>98</v>
      </c>
      <c r="C174" s="1">
        <f t="shared" si="5"/>
        <v>1.6333333333333333</v>
      </c>
    </row>
    <row r="175" spans="1:3" x14ac:dyDescent="0.25">
      <c r="A175">
        <v>4445114986</v>
      </c>
      <c r="B175">
        <v>388</v>
      </c>
      <c r="C175" s="1">
        <f t="shared" si="5"/>
        <v>6.4666666666666668</v>
      </c>
    </row>
    <row r="176" spans="1:3" x14ac:dyDescent="0.25">
      <c r="A176">
        <v>4445114986</v>
      </c>
      <c r="B176">
        <v>439</v>
      </c>
      <c r="C176" s="1">
        <f t="shared" si="5"/>
        <v>7.3166666666666664</v>
      </c>
    </row>
    <row r="177" spans="1:3" x14ac:dyDescent="0.25">
      <c r="A177">
        <v>4445114986</v>
      </c>
      <c r="B177">
        <v>436</v>
      </c>
      <c r="C177" s="1">
        <f t="shared" si="5"/>
        <v>7.2666666666666666</v>
      </c>
    </row>
    <row r="178" spans="1:3" x14ac:dyDescent="0.25">
      <c r="A178">
        <v>4445114986</v>
      </c>
      <c r="B178">
        <v>388</v>
      </c>
      <c r="C178" s="1">
        <f t="shared" si="5"/>
        <v>6.4666666666666668</v>
      </c>
    </row>
    <row r="179" spans="1:3" x14ac:dyDescent="0.25">
      <c r="A179">
        <v>4445114986</v>
      </c>
      <c r="B179">
        <v>328</v>
      </c>
      <c r="C179" s="1">
        <f t="shared" si="5"/>
        <v>5.4666666666666668</v>
      </c>
    </row>
    <row r="180" spans="1:3" x14ac:dyDescent="0.25">
      <c r="A180">
        <v>4445114986</v>
      </c>
      <c r="B180">
        <v>353</v>
      </c>
      <c r="C180" s="1">
        <f t="shared" si="5"/>
        <v>5.8833333333333337</v>
      </c>
    </row>
    <row r="181" spans="1:3" x14ac:dyDescent="0.25">
      <c r="A181">
        <v>4445114986</v>
      </c>
      <c r="B181">
        <v>332</v>
      </c>
      <c r="C181" s="1">
        <f t="shared" si="5"/>
        <v>5.5333333333333332</v>
      </c>
    </row>
    <row r="182" spans="1:3" x14ac:dyDescent="0.25">
      <c r="A182">
        <v>4445114986</v>
      </c>
      <c r="B182">
        <v>419</v>
      </c>
      <c r="C182" s="1">
        <f t="shared" si="5"/>
        <v>6.9833333333333334</v>
      </c>
    </row>
    <row r="183" spans="1:3" x14ac:dyDescent="0.25">
      <c r="A183">
        <v>4445114986</v>
      </c>
      <c r="B183">
        <v>106</v>
      </c>
      <c r="C183" s="1">
        <f t="shared" si="5"/>
        <v>1.7666666666666666</v>
      </c>
    </row>
    <row r="184" spans="1:3" x14ac:dyDescent="0.25">
      <c r="A184">
        <v>4445114986</v>
      </c>
      <c r="B184">
        <v>322</v>
      </c>
      <c r="C184" s="1">
        <f t="shared" si="5"/>
        <v>5.3666666666666663</v>
      </c>
    </row>
    <row r="185" spans="1:3" x14ac:dyDescent="0.25">
      <c r="A185">
        <v>4445114986</v>
      </c>
      <c r="B185">
        <v>439</v>
      </c>
      <c r="C185" s="1">
        <f t="shared" si="5"/>
        <v>7.3166666666666664</v>
      </c>
    </row>
    <row r="186" spans="1:3" x14ac:dyDescent="0.25">
      <c r="A186">
        <v>4445114986</v>
      </c>
      <c r="B186">
        <v>502</v>
      </c>
      <c r="C186" s="1">
        <f t="shared" si="5"/>
        <v>8.3666666666666671</v>
      </c>
    </row>
    <row r="187" spans="1:3" x14ac:dyDescent="0.25">
      <c r="A187">
        <v>4445114986</v>
      </c>
      <c r="B187">
        <v>417</v>
      </c>
      <c r="C187" s="1">
        <f t="shared" si="5"/>
        <v>6.95</v>
      </c>
    </row>
    <row r="188" spans="1:3" x14ac:dyDescent="0.25">
      <c r="A188">
        <v>4445114986</v>
      </c>
      <c r="B188">
        <v>337</v>
      </c>
      <c r="C188" s="1">
        <f t="shared" si="5"/>
        <v>5.6166666666666663</v>
      </c>
    </row>
    <row r="189" spans="1:3" x14ac:dyDescent="0.25">
      <c r="A189">
        <v>4445114986</v>
      </c>
      <c r="B189">
        <v>462</v>
      </c>
      <c r="C189" s="1">
        <f t="shared" si="5"/>
        <v>7.7</v>
      </c>
    </row>
    <row r="190" spans="1:3" x14ac:dyDescent="0.25">
      <c r="A190">
        <v>4445114986</v>
      </c>
      <c r="B190">
        <v>374</v>
      </c>
      <c r="C190" s="1">
        <f t="shared" si="5"/>
        <v>6.2333333333333334</v>
      </c>
    </row>
    <row r="191" spans="1:3" x14ac:dyDescent="0.25">
      <c r="A191">
        <v>4445114986</v>
      </c>
      <c r="B191">
        <v>401</v>
      </c>
      <c r="C191" s="1">
        <f t="shared" si="5"/>
        <v>6.6833333333333336</v>
      </c>
    </row>
    <row r="192" spans="1:3" x14ac:dyDescent="0.25">
      <c r="A192">
        <v>4445114986</v>
      </c>
      <c r="B192">
        <v>361</v>
      </c>
      <c r="C192" s="1">
        <f t="shared" si="5"/>
        <v>6.0166666666666666</v>
      </c>
    </row>
    <row r="193" spans="1:3" x14ac:dyDescent="0.25">
      <c r="A193">
        <v>4445114986</v>
      </c>
      <c r="B193">
        <v>457</v>
      </c>
      <c r="C193" s="1">
        <f t="shared" si="5"/>
        <v>7.6166666666666663</v>
      </c>
    </row>
    <row r="194" spans="1:3" x14ac:dyDescent="0.25">
      <c r="A194">
        <v>4445114986</v>
      </c>
      <c r="B194">
        <v>405</v>
      </c>
      <c r="C194" s="1">
        <f t="shared" si="5"/>
        <v>6.75</v>
      </c>
    </row>
    <row r="195" spans="1:3" x14ac:dyDescent="0.25">
      <c r="A195">
        <v>4445114986</v>
      </c>
      <c r="B195">
        <v>499</v>
      </c>
      <c r="C195" s="1">
        <f t="shared" ref="C195:C258" si="6">B195/60</f>
        <v>8.3166666666666664</v>
      </c>
    </row>
    <row r="196" spans="1:3" x14ac:dyDescent="0.25">
      <c r="A196">
        <v>4445114986</v>
      </c>
      <c r="B196">
        <v>483</v>
      </c>
      <c r="C196" s="1">
        <f t="shared" si="6"/>
        <v>8.0500000000000007</v>
      </c>
    </row>
    <row r="197" spans="1:3" x14ac:dyDescent="0.25">
      <c r="A197">
        <v>4558609924</v>
      </c>
      <c r="B197">
        <v>126</v>
      </c>
      <c r="C197" s="1">
        <f t="shared" si="6"/>
        <v>2.1</v>
      </c>
    </row>
    <row r="198" spans="1:3" x14ac:dyDescent="0.25">
      <c r="A198">
        <v>4558609924</v>
      </c>
      <c r="B198">
        <v>103</v>
      </c>
      <c r="C198" s="1">
        <f t="shared" si="6"/>
        <v>1.7166666666666666</v>
      </c>
    </row>
    <row r="199" spans="1:3" x14ac:dyDescent="0.25">
      <c r="A199">
        <v>4558609924</v>
      </c>
      <c r="B199">
        <v>171</v>
      </c>
      <c r="C199" s="1">
        <f t="shared" si="6"/>
        <v>2.85</v>
      </c>
    </row>
    <row r="200" spans="1:3" x14ac:dyDescent="0.25">
      <c r="A200">
        <v>4558609924</v>
      </c>
      <c r="B200">
        <v>115</v>
      </c>
      <c r="C200" s="1">
        <f t="shared" si="6"/>
        <v>1.9166666666666667</v>
      </c>
    </row>
    <row r="201" spans="1:3" x14ac:dyDescent="0.25">
      <c r="A201">
        <v>4558609924</v>
      </c>
      <c r="B201">
        <v>123</v>
      </c>
      <c r="C201" s="1">
        <f t="shared" si="6"/>
        <v>2.0499999999999998</v>
      </c>
    </row>
    <row r="202" spans="1:3" x14ac:dyDescent="0.25">
      <c r="A202">
        <v>4702921684</v>
      </c>
      <c r="B202">
        <v>425</v>
      </c>
      <c r="C202" s="1">
        <f t="shared" si="6"/>
        <v>7.083333333333333</v>
      </c>
    </row>
    <row r="203" spans="1:3" x14ac:dyDescent="0.25">
      <c r="A203">
        <v>4702921684</v>
      </c>
      <c r="B203">
        <v>400</v>
      </c>
      <c r="C203" s="1">
        <f t="shared" si="6"/>
        <v>6.666666666666667</v>
      </c>
    </row>
    <row r="204" spans="1:3" x14ac:dyDescent="0.25">
      <c r="A204">
        <v>4702921684</v>
      </c>
      <c r="B204">
        <v>384</v>
      </c>
      <c r="C204" s="1">
        <f t="shared" si="6"/>
        <v>6.4</v>
      </c>
    </row>
    <row r="205" spans="1:3" x14ac:dyDescent="0.25">
      <c r="A205">
        <v>4702921684</v>
      </c>
      <c r="B205">
        <v>253</v>
      </c>
      <c r="C205" s="1">
        <f t="shared" si="6"/>
        <v>4.2166666666666668</v>
      </c>
    </row>
    <row r="206" spans="1:3" x14ac:dyDescent="0.25">
      <c r="A206">
        <v>4702921684</v>
      </c>
      <c r="B206">
        <v>382</v>
      </c>
      <c r="C206" s="1">
        <f t="shared" si="6"/>
        <v>6.3666666666666663</v>
      </c>
    </row>
    <row r="207" spans="1:3" x14ac:dyDescent="0.25">
      <c r="A207">
        <v>4702921684</v>
      </c>
      <c r="B207">
        <v>591</v>
      </c>
      <c r="C207" s="1">
        <f t="shared" si="6"/>
        <v>9.85</v>
      </c>
    </row>
    <row r="208" spans="1:3" x14ac:dyDescent="0.25">
      <c r="A208">
        <v>4702921684</v>
      </c>
      <c r="B208">
        <v>293</v>
      </c>
      <c r="C208" s="1">
        <f t="shared" si="6"/>
        <v>4.8833333333333337</v>
      </c>
    </row>
    <row r="209" spans="1:3" x14ac:dyDescent="0.25">
      <c r="A209">
        <v>4702921684</v>
      </c>
      <c r="B209">
        <v>457</v>
      </c>
      <c r="C209" s="1">
        <f t="shared" si="6"/>
        <v>7.6166666666666663</v>
      </c>
    </row>
    <row r="210" spans="1:3" x14ac:dyDescent="0.25">
      <c r="A210">
        <v>4702921684</v>
      </c>
      <c r="B210">
        <v>454</v>
      </c>
      <c r="C210" s="1">
        <f t="shared" si="6"/>
        <v>7.5666666666666664</v>
      </c>
    </row>
    <row r="211" spans="1:3" x14ac:dyDescent="0.25">
      <c r="A211">
        <v>4702921684</v>
      </c>
      <c r="B211">
        <v>425</v>
      </c>
      <c r="C211" s="1">
        <f t="shared" si="6"/>
        <v>7.083333333333333</v>
      </c>
    </row>
    <row r="212" spans="1:3" x14ac:dyDescent="0.25">
      <c r="A212">
        <v>4702921684</v>
      </c>
      <c r="B212">
        <v>465</v>
      </c>
      <c r="C212" s="1">
        <f t="shared" si="6"/>
        <v>7.75</v>
      </c>
    </row>
    <row r="213" spans="1:3" x14ac:dyDescent="0.25">
      <c r="A213">
        <v>4702921684</v>
      </c>
      <c r="B213">
        <v>480</v>
      </c>
      <c r="C213" s="1">
        <f t="shared" si="6"/>
        <v>8</v>
      </c>
    </row>
    <row r="214" spans="1:3" x14ac:dyDescent="0.25">
      <c r="A214">
        <v>4702921684</v>
      </c>
      <c r="B214">
        <v>370</v>
      </c>
      <c r="C214" s="1">
        <f t="shared" si="6"/>
        <v>6.166666666666667</v>
      </c>
    </row>
    <row r="215" spans="1:3" x14ac:dyDescent="0.25">
      <c r="A215">
        <v>4702921684</v>
      </c>
      <c r="B215">
        <v>421</v>
      </c>
      <c r="C215" s="1">
        <f t="shared" si="6"/>
        <v>7.0166666666666666</v>
      </c>
    </row>
    <row r="216" spans="1:3" x14ac:dyDescent="0.25">
      <c r="A216">
        <v>4702921684</v>
      </c>
      <c r="B216">
        <v>432</v>
      </c>
      <c r="C216" s="1">
        <f t="shared" si="6"/>
        <v>7.2</v>
      </c>
    </row>
    <row r="217" spans="1:3" x14ac:dyDescent="0.25">
      <c r="A217">
        <v>4702921684</v>
      </c>
      <c r="B217">
        <v>442</v>
      </c>
      <c r="C217" s="1">
        <f t="shared" si="6"/>
        <v>7.3666666666666663</v>
      </c>
    </row>
    <row r="218" spans="1:3" x14ac:dyDescent="0.25">
      <c r="A218">
        <v>4702921684</v>
      </c>
      <c r="B218">
        <v>433</v>
      </c>
      <c r="C218" s="1">
        <f t="shared" si="6"/>
        <v>7.2166666666666668</v>
      </c>
    </row>
    <row r="219" spans="1:3" x14ac:dyDescent="0.25">
      <c r="A219">
        <v>4702921684</v>
      </c>
      <c r="B219">
        <v>479</v>
      </c>
      <c r="C219" s="1">
        <f t="shared" si="6"/>
        <v>7.9833333333333334</v>
      </c>
    </row>
    <row r="220" spans="1:3" x14ac:dyDescent="0.25">
      <c r="A220">
        <v>4702921684</v>
      </c>
      <c r="B220">
        <v>327</v>
      </c>
      <c r="C220" s="1">
        <f t="shared" si="6"/>
        <v>5.45</v>
      </c>
    </row>
    <row r="221" spans="1:3" x14ac:dyDescent="0.25">
      <c r="A221">
        <v>4702921684</v>
      </c>
      <c r="B221">
        <v>412</v>
      </c>
      <c r="C221" s="1">
        <f t="shared" si="6"/>
        <v>6.8666666666666663</v>
      </c>
    </row>
    <row r="222" spans="1:3" x14ac:dyDescent="0.25">
      <c r="A222">
        <v>4702921684</v>
      </c>
      <c r="B222">
        <v>414</v>
      </c>
      <c r="C222" s="1">
        <f t="shared" si="6"/>
        <v>6.9</v>
      </c>
    </row>
    <row r="223" spans="1:3" x14ac:dyDescent="0.25">
      <c r="A223">
        <v>4702921684</v>
      </c>
      <c r="B223">
        <v>404</v>
      </c>
      <c r="C223" s="1">
        <f t="shared" si="6"/>
        <v>6.7333333333333334</v>
      </c>
    </row>
    <row r="224" spans="1:3" x14ac:dyDescent="0.25">
      <c r="A224">
        <v>4702921684</v>
      </c>
      <c r="B224">
        <v>520</v>
      </c>
      <c r="C224" s="1">
        <f t="shared" si="6"/>
        <v>8.6666666666666661</v>
      </c>
    </row>
    <row r="225" spans="1:3" x14ac:dyDescent="0.25">
      <c r="A225">
        <v>4702921684</v>
      </c>
      <c r="B225">
        <v>520</v>
      </c>
      <c r="C225" s="1">
        <f t="shared" si="6"/>
        <v>8.6666666666666661</v>
      </c>
    </row>
    <row r="226" spans="1:3" x14ac:dyDescent="0.25">
      <c r="A226">
        <v>4702921684</v>
      </c>
      <c r="B226">
        <v>435</v>
      </c>
      <c r="C226" s="1">
        <f t="shared" si="6"/>
        <v>7.25</v>
      </c>
    </row>
    <row r="227" spans="1:3" x14ac:dyDescent="0.25">
      <c r="A227">
        <v>4702921684</v>
      </c>
      <c r="B227">
        <v>416</v>
      </c>
      <c r="C227" s="1">
        <f t="shared" si="6"/>
        <v>6.9333333333333336</v>
      </c>
    </row>
    <row r="228" spans="1:3" x14ac:dyDescent="0.25">
      <c r="A228">
        <v>4702921684</v>
      </c>
      <c r="B228">
        <v>354</v>
      </c>
      <c r="C228" s="1">
        <f t="shared" si="6"/>
        <v>5.9</v>
      </c>
    </row>
    <row r="229" spans="1:3" x14ac:dyDescent="0.25">
      <c r="A229">
        <v>4702921684</v>
      </c>
      <c r="B229">
        <v>404</v>
      </c>
      <c r="C229" s="1">
        <f t="shared" si="6"/>
        <v>6.7333333333333334</v>
      </c>
    </row>
    <row r="230" spans="1:3" x14ac:dyDescent="0.25">
      <c r="A230">
        <v>5553957443</v>
      </c>
      <c r="B230">
        <v>441</v>
      </c>
      <c r="C230" s="1">
        <f t="shared" si="6"/>
        <v>7.35</v>
      </c>
    </row>
    <row r="231" spans="1:3" x14ac:dyDescent="0.25">
      <c r="A231">
        <v>5553957443</v>
      </c>
      <c r="B231">
        <v>455</v>
      </c>
      <c r="C231" s="1">
        <f t="shared" si="6"/>
        <v>7.583333333333333</v>
      </c>
    </row>
    <row r="232" spans="1:3" x14ac:dyDescent="0.25">
      <c r="A232">
        <v>5553957443</v>
      </c>
      <c r="B232">
        <v>357</v>
      </c>
      <c r="C232" s="1">
        <f t="shared" si="6"/>
        <v>5.95</v>
      </c>
    </row>
    <row r="233" spans="1:3" x14ac:dyDescent="0.25">
      <c r="A233">
        <v>5553957443</v>
      </c>
      <c r="B233">
        <v>377</v>
      </c>
      <c r="C233" s="1">
        <f t="shared" si="6"/>
        <v>6.2833333333333332</v>
      </c>
    </row>
    <row r="234" spans="1:3" x14ac:dyDescent="0.25">
      <c r="A234">
        <v>5553957443</v>
      </c>
      <c r="B234">
        <v>651</v>
      </c>
      <c r="C234" s="1">
        <f t="shared" si="6"/>
        <v>10.85</v>
      </c>
    </row>
    <row r="235" spans="1:3" x14ac:dyDescent="0.25">
      <c r="A235">
        <v>5553957443</v>
      </c>
      <c r="B235">
        <v>350</v>
      </c>
      <c r="C235" s="1">
        <f t="shared" si="6"/>
        <v>5.833333333333333</v>
      </c>
    </row>
    <row r="236" spans="1:3" x14ac:dyDescent="0.25">
      <c r="A236">
        <v>5553957443</v>
      </c>
      <c r="B236">
        <v>520</v>
      </c>
      <c r="C236" s="1">
        <f t="shared" si="6"/>
        <v>8.6666666666666661</v>
      </c>
    </row>
    <row r="237" spans="1:3" x14ac:dyDescent="0.25">
      <c r="A237">
        <v>5553957443</v>
      </c>
      <c r="B237">
        <v>357</v>
      </c>
      <c r="C237" s="1">
        <f t="shared" si="6"/>
        <v>5.95</v>
      </c>
    </row>
    <row r="238" spans="1:3" x14ac:dyDescent="0.25">
      <c r="A238">
        <v>5553957443</v>
      </c>
      <c r="B238">
        <v>658</v>
      </c>
      <c r="C238" s="1">
        <f t="shared" si="6"/>
        <v>10.966666666666667</v>
      </c>
    </row>
    <row r="239" spans="1:3" x14ac:dyDescent="0.25">
      <c r="A239">
        <v>5553957443</v>
      </c>
      <c r="B239">
        <v>399</v>
      </c>
      <c r="C239" s="1">
        <f t="shared" si="6"/>
        <v>6.65</v>
      </c>
    </row>
    <row r="240" spans="1:3" x14ac:dyDescent="0.25">
      <c r="A240">
        <v>5553957443</v>
      </c>
      <c r="B240">
        <v>322</v>
      </c>
      <c r="C240" s="1">
        <f t="shared" si="6"/>
        <v>5.3666666666666663</v>
      </c>
    </row>
    <row r="241" spans="1:3" x14ac:dyDescent="0.25">
      <c r="A241">
        <v>5553957443</v>
      </c>
      <c r="B241">
        <v>631</v>
      </c>
      <c r="C241" s="1">
        <f t="shared" si="6"/>
        <v>10.516666666666667</v>
      </c>
    </row>
    <row r="242" spans="1:3" x14ac:dyDescent="0.25">
      <c r="A242">
        <v>5553957443</v>
      </c>
      <c r="B242">
        <v>553</v>
      </c>
      <c r="C242" s="1">
        <f t="shared" si="6"/>
        <v>9.2166666666666668</v>
      </c>
    </row>
    <row r="243" spans="1:3" x14ac:dyDescent="0.25">
      <c r="A243">
        <v>5553957443</v>
      </c>
      <c r="B243">
        <v>433</v>
      </c>
      <c r="C243" s="1">
        <f t="shared" si="6"/>
        <v>7.2166666666666668</v>
      </c>
    </row>
    <row r="244" spans="1:3" x14ac:dyDescent="0.25">
      <c r="A244">
        <v>5553957443</v>
      </c>
      <c r="B244">
        <v>412</v>
      </c>
      <c r="C244" s="1">
        <f t="shared" si="6"/>
        <v>6.8666666666666663</v>
      </c>
    </row>
    <row r="245" spans="1:3" x14ac:dyDescent="0.25">
      <c r="A245">
        <v>5553957443</v>
      </c>
      <c r="B245">
        <v>347</v>
      </c>
      <c r="C245" s="1">
        <f t="shared" si="6"/>
        <v>5.7833333333333332</v>
      </c>
    </row>
    <row r="246" spans="1:3" x14ac:dyDescent="0.25">
      <c r="A246">
        <v>5553957443</v>
      </c>
      <c r="B246">
        <v>421</v>
      </c>
      <c r="C246" s="1">
        <f t="shared" si="6"/>
        <v>7.0166666666666666</v>
      </c>
    </row>
    <row r="247" spans="1:3" x14ac:dyDescent="0.25">
      <c r="A247">
        <v>5553957443</v>
      </c>
      <c r="B247">
        <v>450</v>
      </c>
      <c r="C247" s="1">
        <f t="shared" si="6"/>
        <v>7.5</v>
      </c>
    </row>
    <row r="248" spans="1:3" x14ac:dyDescent="0.25">
      <c r="A248">
        <v>5553957443</v>
      </c>
      <c r="B248">
        <v>775</v>
      </c>
      <c r="C248" s="1">
        <f t="shared" si="6"/>
        <v>12.916666666666666</v>
      </c>
    </row>
    <row r="249" spans="1:3" x14ac:dyDescent="0.25">
      <c r="A249">
        <v>5553957443</v>
      </c>
      <c r="B249">
        <v>622</v>
      </c>
      <c r="C249" s="1">
        <f t="shared" si="6"/>
        <v>10.366666666666667</v>
      </c>
    </row>
    <row r="250" spans="1:3" x14ac:dyDescent="0.25">
      <c r="A250">
        <v>5553957443</v>
      </c>
      <c r="B250">
        <v>409</v>
      </c>
      <c r="C250" s="1">
        <f t="shared" si="6"/>
        <v>6.8166666666666664</v>
      </c>
    </row>
    <row r="251" spans="1:3" x14ac:dyDescent="0.25">
      <c r="A251">
        <v>5553957443</v>
      </c>
      <c r="B251">
        <v>380</v>
      </c>
      <c r="C251" s="1">
        <f t="shared" si="6"/>
        <v>6.333333333333333</v>
      </c>
    </row>
    <row r="252" spans="1:3" x14ac:dyDescent="0.25">
      <c r="A252">
        <v>5553957443</v>
      </c>
      <c r="B252">
        <v>447</v>
      </c>
      <c r="C252" s="1">
        <f t="shared" si="6"/>
        <v>7.45</v>
      </c>
    </row>
    <row r="253" spans="1:3" x14ac:dyDescent="0.25">
      <c r="A253">
        <v>5553957443</v>
      </c>
      <c r="B253">
        <v>419</v>
      </c>
      <c r="C253" s="1">
        <f t="shared" si="6"/>
        <v>6.9833333333333334</v>
      </c>
    </row>
    <row r="254" spans="1:3" x14ac:dyDescent="0.25">
      <c r="A254">
        <v>5553957443</v>
      </c>
      <c r="B254">
        <v>400</v>
      </c>
      <c r="C254" s="1">
        <f t="shared" si="6"/>
        <v>6.666666666666667</v>
      </c>
    </row>
    <row r="255" spans="1:3" x14ac:dyDescent="0.25">
      <c r="A255">
        <v>5553957443</v>
      </c>
      <c r="B255">
        <v>442</v>
      </c>
      <c r="C255" s="1">
        <f t="shared" si="6"/>
        <v>7.3666666666666663</v>
      </c>
    </row>
    <row r="256" spans="1:3" x14ac:dyDescent="0.25">
      <c r="A256">
        <v>5553957443</v>
      </c>
      <c r="B256">
        <v>568</v>
      </c>
      <c r="C256" s="1">
        <f t="shared" si="6"/>
        <v>9.4666666666666668</v>
      </c>
    </row>
    <row r="257" spans="1:3" x14ac:dyDescent="0.25">
      <c r="A257">
        <v>5553957443</v>
      </c>
      <c r="B257">
        <v>453</v>
      </c>
      <c r="C257" s="1">
        <f t="shared" si="6"/>
        <v>7.55</v>
      </c>
    </row>
    <row r="258" spans="1:3" x14ac:dyDescent="0.25">
      <c r="A258">
        <v>5553957443</v>
      </c>
      <c r="B258">
        <v>418</v>
      </c>
      <c r="C258" s="1">
        <f t="shared" si="6"/>
        <v>6.9666666666666668</v>
      </c>
    </row>
    <row r="259" spans="1:3" x14ac:dyDescent="0.25">
      <c r="A259">
        <v>5553957443</v>
      </c>
      <c r="B259">
        <v>463</v>
      </c>
      <c r="C259" s="1">
        <f t="shared" ref="C259:C322" si="7">B259/60</f>
        <v>7.7166666666666668</v>
      </c>
    </row>
    <row r="260" spans="1:3" x14ac:dyDescent="0.25">
      <c r="A260">
        <v>5553957443</v>
      </c>
      <c r="B260">
        <v>438</v>
      </c>
      <c r="C260" s="1">
        <f t="shared" si="7"/>
        <v>7.3</v>
      </c>
    </row>
    <row r="261" spans="1:3" x14ac:dyDescent="0.25">
      <c r="A261">
        <v>5577150313</v>
      </c>
      <c r="B261">
        <v>419</v>
      </c>
      <c r="C261" s="1">
        <f t="shared" si="7"/>
        <v>6.9833333333333334</v>
      </c>
    </row>
    <row r="262" spans="1:3" x14ac:dyDescent="0.25">
      <c r="A262">
        <v>5577150313</v>
      </c>
      <c r="B262">
        <v>432</v>
      </c>
      <c r="C262" s="1">
        <f t="shared" si="7"/>
        <v>7.2</v>
      </c>
    </row>
    <row r="263" spans="1:3" x14ac:dyDescent="0.25">
      <c r="A263">
        <v>5577150313</v>
      </c>
      <c r="B263">
        <v>477</v>
      </c>
      <c r="C263" s="1">
        <f t="shared" si="7"/>
        <v>7.95</v>
      </c>
    </row>
    <row r="264" spans="1:3" x14ac:dyDescent="0.25">
      <c r="A264">
        <v>5577150313</v>
      </c>
      <c r="B264">
        <v>392</v>
      </c>
      <c r="C264" s="1">
        <f t="shared" si="7"/>
        <v>6.5333333333333332</v>
      </c>
    </row>
    <row r="265" spans="1:3" x14ac:dyDescent="0.25">
      <c r="A265">
        <v>5577150313</v>
      </c>
      <c r="B265">
        <v>406</v>
      </c>
      <c r="C265" s="1">
        <f t="shared" si="7"/>
        <v>6.7666666666666666</v>
      </c>
    </row>
    <row r="266" spans="1:3" x14ac:dyDescent="0.25">
      <c r="A266">
        <v>5577150313</v>
      </c>
      <c r="B266">
        <v>549</v>
      </c>
      <c r="C266" s="1">
        <f t="shared" si="7"/>
        <v>9.15</v>
      </c>
    </row>
    <row r="267" spans="1:3" x14ac:dyDescent="0.25">
      <c r="A267">
        <v>5577150313</v>
      </c>
      <c r="B267">
        <v>527</v>
      </c>
      <c r="C267" s="1">
        <f t="shared" si="7"/>
        <v>8.7833333333333332</v>
      </c>
    </row>
    <row r="268" spans="1:3" x14ac:dyDescent="0.25">
      <c r="A268">
        <v>5577150313</v>
      </c>
      <c r="B268">
        <v>449</v>
      </c>
      <c r="C268" s="1">
        <f t="shared" si="7"/>
        <v>7.4833333333333334</v>
      </c>
    </row>
    <row r="269" spans="1:3" x14ac:dyDescent="0.25">
      <c r="A269">
        <v>5577150313</v>
      </c>
      <c r="B269">
        <v>447</v>
      </c>
      <c r="C269" s="1">
        <f t="shared" si="7"/>
        <v>7.45</v>
      </c>
    </row>
    <row r="270" spans="1:3" x14ac:dyDescent="0.25">
      <c r="A270">
        <v>5577150313</v>
      </c>
      <c r="B270">
        <v>414</v>
      </c>
      <c r="C270" s="1">
        <f t="shared" si="7"/>
        <v>6.9</v>
      </c>
    </row>
    <row r="271" spans="1:3" x14ac:dyDescent="0.25">
      <c r="A271">
        <v>5577150313</v>
      </c>
      <c r="B271">
        <v>338</v>
      </c>
      <c r="C271" s="1">
        <f t="shared" si="7"/>
        <v>5.6333333333333337</v>
      </c>
    </row>
    <row r="272" spans="1:3" x14ac:dyDescent="0.25">
      <c r="A272">
        <v>5577150313</v>
      </c>
      <c r="B272">
        <v>384</v>
      </c>
      <c r="C272" s="1">
        <f t="shared" si="7"/>
        <v>6.4</v>
      </c>
    </row>
    <row r="273" spans="1:3" x14ac:dyDescent="0.25">
      <c r="A273">
        <v>5577150313</v>
      </c>
      <c r="B273">
        <v>543</v>
      </c>
      <c r="C273" s="1">
        <f t="shared" si="7"/>
        <v>9.0500000000000007</v>
      </c>
    </row>
    <row r="274" spans="1:3" x14ac:dyDescent="0.25">
      <c r="A274">
        <v>5577150313</v>
      </c>
      <c r="B274">
        <v>421</v>
      </c>
      <c r="C274" s="1">
        <f t="shared" si="7"/>
        <v>7.0166666666666666</v>
      </c>
    </row>
    <row r="275" spans="1:3" x14ac:dyDescent="0.25">
      <c r="A275">
        <v>5577150313</v>
      </c>
      <c r="B275">
        <v>354</v>
      </c>
      <c r="C275" s="1">
        <f t="shared" si="7"/>
        <v>5.9</v>
      </c>
    </row>
    <row r="276" spans="1:3" x14ac:dyDescent="0.25">
      <c r="A276">
        <v>5577150313</v>
      </c>
      <c r="B276">
        <v>424</v>
      </c>
      <c r="C276" s="1">
        <f t="shared" si="7"/>
        <v>7.0666666666666664</v>
      </c>
    </row>
    <row r="277" spans="1:3" x14ac:dyDescent="0.25">
      <c r="A277">
        <v>5577150313</v>
      </c>
      <c r="B277">
        <v>361</v>
      </c>
      <c r="C277" s="1">
        <f t="shared" si="7"/>
        <v>6.0166666666666666</v>
      </c>
    </row>
    <row r="278" spans="1:3" x14ac:dyDescent="0.25">
      <c r="A278">
        <v>5577150313</v>
      </c>
      <c r="B278">
        <v>459</v>
      </c>
      <c r="C278" s="1">
        <f t="shared" si="7"/>
        <v>7.65</v>
      </c>
    </row>
    <row r="279" spans="1:3" x14ac:dyDescent="0.25">
      <c r="A279">
        <v>5577150313</v>
      </c>
      <c r="B279">
        <v>412</v>
      </c>
      <c r="C279" s="1">
        <f t="shared" si="7"/>
        <v>6.8666666666666663</v>
      </c>
    </row>
    <row r="280" spans="1:3" x14ac:dyDescent="0.25">
      <c r="A280">
        <v>5577150313</v>
      </c>
      <c r="B280">
        <v>379</v>
      </c>
      <c r="C280" s="1">
        <f t="shared" si="7"/>
        <v>6.3166666666666664</v>
      </c>
    </row>
    <row r="281" spans="1:3" x14ac:dyDescent="0.25">
      <c r="A281">
        <v>5577150313</v>
      </c>
      <c r="B281">
        <v>525</v>
      </c>
      <c r="C281" s="1">
        <f t="shared" si="7"/>
        <v>8.75</v>
      </c>
    </row>
    <row r="282" spans="1:3" x14ac:dyDescent="0.25">
      <c r="A282">
        <v>5577150313</v>
      </c>
      <c r="B282">
        <v>508</v>
      </c>
      <c r="C282" s="1">
        <f t="shared" si="7"/>
        <v>8.4666666666666668</v>
      </c>
    </row>
    <row r="283" spans="1:3" x14ac:dyDescent="0.25">
      <c r="A283">
        <v>5577150313</v>
      </c>
      <c r="B283">
        <v>603</v>
      </c>
      <c r="C283" s="1">
        <f t="shared" si="7"/>
        <v>10.050000000000001</v>
      </c>
    </row>
    <row r="284" spans="1:3" x14ac:dyDescent="0.25">
      <c r="A284">
        <v>5577150313</v>
      </c>
      <c r="B284">
        <v>74</v>
      </c>
      <c r="C284" s="1">
        <f t="shared" si="7"/>
        <v>1.2333333333333334</v>
      </c>
    </row>
    <row r="285" spans="1:3" x14ac:dyDescent="0.25">
      <c r="A285">
        <v>5577150313</v>
      </c>
      <c r="B285">
        <v>504</v>
      </c>
      <c r="C285" s="1">
        <f t="shared" si="7"/>
        <v>8.4</v>
      </c>
    </row>
    <row r="286" spans="1:3" x14ac:dyDescent="0.25">
      <c r="A286">
        <v>5577150313</v>
      </c>
      <c r="B286">
        <v>431</v>
      </c>
      <c r="C286" s="1">
        <f t="shared" si="7"/>
        <v>7.1833333333333336</v>
      </c>
    </row>
    <row r="287" spans="1:3" x14ac:dyDescent="0.25">
      <c r="A287">
        <v>6117666160</v>
      </c>
      <c r="B287">
        <v>380</v>
      </c>
      <c r="C287" s="1">
        <f t="shared" si="7"/>
        <v>6.333333333333333</v>
      </c>
    </row>
    <row r="288" spans="1:3" x14ac:dyDescent="0.25">
      <c r="A288">
        <v>6117666160</v>
      </c>
      <c r="B288">
        <v>336</v>
      </c>
      <c r="C288" s="1">
        <f t="shared" si="7"/>
        <v>5.6</v>
      </c>
    </row>
    <row r="289" spans="1:3" x14ac:dyDescent="0.25">
      <c r="A289">
        <v>6117666160</v>
      </c>
      <c r="B289">
        <v>493</v>
      </c>
      <c r="C289" s="1">
        <f t="shared" si="7"/>
        <v>8.2166666666666668</v>
      </c>
    </row>
    <row r="290" spans="1:3" x14ac:dyDescent="0.25">
      <c r="A290">
        <v>6117666160</v>
      </c>
      <c r="B290">
        <v>465</v>
      </c>
      <c r="C290" s="1">
        <f t="shared" si="7"/>
        <v>7.75</v>
      </c>
    </row>
    <row r="291" spans="1:3" x14ac:dyDescent="0.25">
      <c r="A291">
        <v>6117666160</v>
      </c>
      <c r="B291">
        <v>474</v>
      </c>
      <c r="C291" s="1">
        <f t="shared" si="7"/>
        <v>7.9</v>
      </c>
    </row>
    <row r="292" spans="1:3" x14ac:dyDescent="0.25">
      <c r="A292">
        <v>6117666160</v>
      </c>
      <c r="B292">
        <v>508</v>
      </c>
      <c r="C292" s="1">
        <f t="shared" si="7"/>
        <v>8.4666666666666668</v>
      </c>
    </row>
    <row r="293" spans="1:3" x14ac:dyDescent="0.25">
      <c r="A293">
        <v>6117666160</v>
      </c>
      <c r="B293">
        <v>480</v>
      </c>
      <c r="C293" s="1">
        <f t="shared" si="7"/>
        <v>8</v>
      </c>
    </row>
    <row r="294" spans="1:3" x14ac:dyDescent="0.25">
      <c r="A294">
        <v>6117666160</v>
      </c>
      <c r="B294">
        <v>492</v>
      </c>
      <c r="C294" s="1">
        <f t="shared" si="7"/>
        <v>8.1999999999999993</v>
      </c>
    </row>
    <row r="295" spans="1:3" x14ac:dyDescent="0.25">
      <c r="A295">
        <v>6117666160</v>
      </c>
      <c r="B295">
        <v>353</v>
      </c>
      <c r="C295" s="1">
        <f t="shared" si="7"/>
        <v>5.8833333333333337</v>
      </c>
    </row>
    <row r="296" spans="1:3" x14ac:dyDescent="0.25">
      <c r="A296">
        <v>6117666160</v>
      </c>
      <c r="B296">
        <v>542</v>
      </c>
      <c r="C296" s="1">
        <f t="shared" si="7"/>
        <v>9.0333333333333332</v>
      </c>
    </row>
    <row r="297" spans="1:3" x14ac:dyDescent="0.25">
      <c r="A297">
        <v>6117666160</v>
      </c>
      <c r="B297">
        <v>393</v>
      </c>
      <c r="C297" s="1">
        <f t="shared" si="7"/>
        <v>6.55</v>
      </c>
    </row>
    <row r="298" spans="1:3" x14ac:dyDescent="0.25">
      <c r="A298">
        <v>6117666160</v>
      </c>
      <c r="B298">
        <v>600</v>
      </c>
      <c r="C298" s="1">
        <f t="shared" si="7"/>
        <v>10</v>
      </c>
    </row>
    <row r="299" spans="1:3" x14ac:dyDescent="0.25">
      <c r="A299">
        <v>6117666160</v>
      </c>
      <c r="B299">
        <v>507</v>
      </c>
      <c r="C299" s="1">
        <f t="shared" si="7"/>
        <v>8.4499999999999993</v>
      </c>
    </row>
    <row r="300" spans="1:3" x14ac:dyDescent="0.25">
      <c r="A300">
        <v>6117666160</v>
      </c>
      <c r="B300">
        <v>392</v>
      </c>
      <c r="C300" s="1">
        <f t="shared" si="7"/>
        <v>6.5333333333333332</v>
      </c>
    </row>
    <row r="301" spans="1:3" x14ac:dyDescent="0.25">
      <c r="A301">
        <v>6117666160</v>
      </c>
      <c r="B301">
        <v>658</v>
      </c>
      <c r="C301" s="1">
        <f t="shared" si="7"/>
        <v>10.966666666666667</v>
      </c>
    </row>
    <row r="302" spans="1:3" x14ac:dyDescent="0.25">
      <c r="A302">
        <v>6117666160</v>
      </c>
      <c r="B302">
        <v>498</v>
      </c>
      <c r="C302" s="1">
        <f t="shared" si="7"/>
        <v>8.3000000000000007</v>
      </c>
    </row>
    <row r="303" spans="1:3" x14ac:dyDescent="0.25">
      <c r="A303">
        <v>6117666160</v>
      </c>
      <c r="B303">
        <v>555</v>
      </c>
      <c r="C303" s="1">
        <f t="shared" si="7"/>
        <v>9.25</v>
      </c>
    </row>
    <row r="304" spans="1:3" x14ac:dyDescent="0.25">
      <c r="A304">
        <v>6117666160</v>
      </c>
      <c r="B304">
        <v>492</v>
      </c>
      <c r="C304" s="1">
        <f t="shared" si="7"/>
        <v>8.1999999999999993</v>
      </c>
    </row>
    <row r="305" spans="1:3" x14ac:dyDescent="0.25">
      <c r="A305">
        <v>6775888955</v>
      </c>
      <c r="B305">
        <v>235</v>
      </c>
      <c r="C305" s="1">
        <f t="shared" si="7"/>
        <v>3.9166666666666665</v>
      </c>
    </row>
    <row r="306" spans="1:3" x14ac:dyDescent="0.25">
      <c r="A306">
        <v>6775888955</v>
      </c>
      <c r="B306">
        <v>423</v>
      </c>
      <c r="C306" s="1">
        <f t="shared" si="7"/>
        <v>7.05</v>
      </c>
    </row>
    <row r="307" spans="1:3" x14ac:dyDescent="0.25">
      <c r="A307">
        <v>6775888955</v>
      </c>
      <c r="B307">
        <v>391</v>
      </c>
      <c r="C307" s="1">
        <f t="shared" si="7"/>
        <v>6.5166666666666666</v>
      </c>
    </row>
    <row r="308" spans="1:3" x14ac:dyDescent="0.25">
      <c r="A308">
        <v>6962181067</v>
      </c>
      <c r="B308">
        <v>366</v>
      </c>
      <c r="C308" s="1">
        <f t="shared" si="7"/>
        <v>6.1</v>
      </c>
    </row>
    <row r="309" spans="1:3" x14ac:dyDescent="0.25">
      <c r="A309">
        <v>6962181067</v>
      </c>
      <c r="B309">
        <v>630</v>
      </c>
      <c r="C309" s="1">
        <f t="shared" si="7"/>
        <v>10.5</v>
      </c>
    </row>
    <row r="310" spans="1:3" x14ac:dyDescent="0.25">
      <c r="A310">
        <v>6962181067</v>
      </c>
      <c r="B310">
        <v>508</v>
      </c>
      <c r="C310" s="1">
        <f t="shared" si="7"/>
        <v>8.4666666666666668</v>
      </c>
    </row>
    <row r="311" spans="1:3" x14ac:dyDescent="0.25">
      <c r="A311">
        <v>6962181067</v>
      </c>
      <c r="B311">
        <v>370</v>
      </c>
      <c r="C311" s="1">
        <f t="shared" si="7"/>
        <v>6.166666666666667</v>
      </c>
    </row>
    <row r="312" spans="1:3" x14ac:dyDescent="0.25">
      <c r="A312">
        <v>6962181067</v>
      </c>
      <c r="B312">
        <v>357</v>
      </c>
      <c r="C312" s="1">
        <f t="shared" si="7"/>
        <v>5.95</v>
      </c>
    </row>
    <row r="313" spans="1:3" x14ac:dyDescent="0.25">
      <c r="A313">
        <v>6962181067</v>
      </c>
      <c r="B313">
        <v>427</v>
      </c>
      <c r="C313" s="1">
        <f t="shared" si="7"/>
        <v>7.1166666666666663</v>
      </c>
    </row>
    <row r="314" spans="1:3" x14ac:dyDescent="0.25">
      <c r="A314">
        <v>6962181067</v>
      </c>
      <c r="B314">
        <v>442</v>
      </c>
      <c r="C314" s="1">
        <f t="shared" si="7"/>
        <v>7.3666666666666663</v>
      </c>
    </row>
    <row r="315" spans="1:3" x14ac:dyDescent="0.25">
      <c r="A315">
        <v>6962181067</v>
      </c>
      <c r="B315">
        <v>476</v>
      </c>
      <c r="C315" s="1">
        <f t="shared" si="7"/>
        <v>7.9333333333333336</v>
      </c>
    </row>
    <row r="316" spans="1:3" x14ac:dyDescent="0.25">
      <c r="A316">
        <v>6962181067</v>
      </c>
      <c r="B316">
        <v>418</v>
      </c>
      <c r="C316" s="1">
        <f t="shared" si="7"/>
        <v>6.9666666666666668</v>
      </c>
    </row>
    <row r="317" spans="1:3" x14ac:dyDescent="0.25">
      <c r="A317">
        <v>6962181067</v>
      </c>
      <c r="B317">
        <v>451</v>
      </c>
      <c r="C317" s="1">
        <f t="shared" si="7"/>
        <v>7.5166666666666666</v>
      </c>
    </row>
    <row r="318" spans="1:3" x14ac:dyDescent="0.25">
      <c r="A318">
        <v>6962181067</v>
      </c>
      <c r="B318">
        <v>425</v>
      </c>
      <c r="C318" s="1">
        <f t="shared" si="7"/>
        <v>7.083333333333333</v>
      </c>
    </row>
    <row r="319" spans="1:3" x14ac:dyDescent="0.25">
      <c r="A319">
        <v>6962181067</v>
      </c>
      <c r="B319">
        <v>528</v>
      </c>
      <c r="C319" s="1">
        <f t="shared" si="7"/>
        <v>8.8000000000000007</v>
      </c>
    </row>
    <row r="320" spans="1:3" x14ac:dyDescent="0.25">
      <c r="A320">
        <v>6962181067</v>
      </c>
      <c r="B320">
        <v>511</v>
      </c>
      <c r="C320" s="1">
        <f t="shared" si="7"/>
        <v>8.5166666666666675</v>
      </c>
    </row>
    <row r="321" spans="1:3" x14ac:dyDescent="0.25">
      <c r="A321">
        <v>6962181067</v>
      </c>
      <c r="B321">
        <v>400</v>
      </c>
      <c r="C321" s="1">
        <f t="shared" si="7"/>
        <v>6.666666666666667</v>
      </c>
    </row>
    <row r="322" spans="1:3" x14ac:dyDescent="0.25">
      <c r="A322">
        <v>6962181067</v>
      </c>
      <c r="B322">
        <v>441</v>
      </c>
      <c r="C322" s="1">
        <f t="shared" si="7"/>
        <v>7.35</v>
      </c>
    </row>
    <row r="323" spans="1:3" x14ac:dyDescent="0.25">
      <c r="A323">
        <v>6962181067</v>
      </c>
      <c r="B323">
        <v>455</v>
      </c>
      <c r="C323" s="1">
        <f t="shared" ref="C323:C386" si="8">B323/60</f>
        <v>7.583333333333333</v>
      </c>
    </row>
    <row r="324" spans="1:3" x14ac:dyDescent="0.25">
      <c r="A324">
        <v>6962181067</v>
      </c>
      <c r="B324">
        <v>440</v>
      </c>
      <c r="C324" s="1">
        <f t="shared" si="8"/>
        <v>7.333333333333333</v>
      </c>
    </row>
    <row r="325" spans="1:3" x14ac:dyDescent="0.25">
      <c r="A325">
        <v>6962181067</v>
      </c>
      <c r="B325">
        <v>433</v>
      </c>
      <c r="C325" s="1">
        <f t="shared" si="8"/>
        <v>7.2166666666666668</v>
      </c>
    </row>
    <row r="326" spans="1:3" x14ac:dyDescent="0.25">
      <c r="A326">
        <v>6962181067</v>
      </c>
      <c r="B326">
        <v>422</v>
      </c>
      <c r="C326" s="1">
        <f t="shared" si="8"/>
        <v>7.0333333333333332</v>
      </c>
    </row>
    <row r="327" spans="1:3" x14ac:dyDescent="0.25">
      <c r="A327">
        <v>6962181067</v>
      </c>
      <c r="B327">
        <v>411</v>
      </c>
      <c r="C327" s="1">
        <f t="shared" si="8"/>
        <v>6.85</v>
      </c>
    </row>
    <row r="328" spans="1:3" x14ac:dyDescent="0.25">
      <c r="A328">
        <v>6962181067</v>
      </c>
      <c r="B328">
        <v>466</v>
      </c>
      <c r="C328" s="1">
        <f t="shared" si="8"/>
        <v>7.7666666666666666</v>
      </c>
    </row>
    <row r="329" spans="1:3" x14ac:dyDescent="0.25">
      <c r="A329">
        <v>6962181067</v>
      </c>
      <c r="B329">
        <v>394</v>
      </c>
      <c r="C329" s="1">
        <f t="shared" si="8"/>
        <v>6.5666666666666664</v>
      </c>
    </row>
    <row r="330" spans="1:3" x14ac:dyDescent="0.25">
      <c r="A330">
        <v>6962181067</v>
      </c>
      <c r="B330">
        <v>442</v>
      </c>
      <c r="C330" s="1">
        <f t="shared" si="8"/>
        <v>7.3666666666666663</v>
      </c>
    </row>
    <row r="331" spans="1:3" x14ac:dyDescent="0.25">
      <c r="A331">
        <v>6962181067</v>
      </c>
      <c r="B331">
        <v>467</v>
      </c>
      <c r="C331" s="1">
        <f t="shared" si="8"/>
        <v>7.7833333333333332</v>
      </c>
    </row>
    <row r="332" spans="1:3" x14ac:dyDescent="0.25">
      <c r="A332">
        <v>6962181067</v>
      </c>
      <c r="B332">
        <v>443</v>
      </c>
      <c r="C332" s="1">
        <f t="shared" si="8"/>
        <v>7.3833333333333337</v>
      </c>
    </row>
    <row r="333" spans="1:3" x14ac:dyDescent="0.25">
      <c r="A333">
        <v>6962181067</v>
      </c>
      <c r="B333">
        <v>298</v>
      </c>
      <c r="C333" s="1">
        <f t="shared" si="8"/>
        <v>4.9666666666666668</v>
      </c>
    </row>
    <row r="334" spans="1:3" x14ac:dyDescent="0.25">
      <c r="A334">
        <v>6962181067</v>
      </c>
      <c r="B334">
        <v>541</v>
      </c>
      <c r="C334" s="1">
        <f t="shared" si="8"/>
        <v>9.0166666666666675</v>
      </c>
    </row>
    <row r="335" spans="1:3" x14ac:dyDescent="0.25">
      <c r="A335">
        <v>6962181067</v>
      </c>
      <c r="B335">
        <v>489</v>
      </c>
      <c r="C335" s="1">
        <f t="shared" si="8"/>
        <v>8.15</v>
      </c>
    </row>
    <row r="336" spans="1:3" x14ac:dyDescent="0.25">
      <c r="A336">
        <v>6962181067</v>
      </c>
      <c r="B336">
        <v>469</v>
      </c>
      <c r="C336" s="1">
        <f t="shared" si="8"/>
        <v>7.8166666666666664</v>
      </c>
    </row>
    <row r="337" spans="1:3" x14ac:dyDescent="0.25">
      <c r="A337">
        <v>6962181067</v>
      </c>
      <c r="B337">
        <v>452</v>
      </c>
      <c r="C337" s="1">
        <f t="shared" si="8"/>
        <v>7.5333333333333332</v>
      </c>
    </row>
    <row r="338" spans="1:3" x14ac:dyDescent="0.25">
      <c r="A338">
        <v>6962181067</v>
      </c>
      <c r="B338">
        <v>516</v>
      </c>
      <c r="C338" s="1">
        <f t="shared" si="8"/>
        <v>8.6</v>
      </c>
    </row>
    <row r="339" spans="1:3" x14ac:dyDescent="0.25">
      <c r="A339">
        <v>7007744171</v>
      </c>
      <c r="B339">
        <v>79</v>
      </c>
      <c r="C339" s="1">
        <f t="shared" si="8"/>
        <v>1.3166666666666667</v>
      </c>
    </row>
    <row r="340" spans="1:3" x14ac:dyDescent="0.25">
      <c r="A340">
        <v>7007744171</v>
      </c>
      <c r="B340">
        <v>58</v>
      </c>
      <c r="C340" s="1">
        <f t="shared" si="8"/>
        <v>0.96666666666666667</v>
      </c>
    </row>
    <row r="341" spans="1:3" x14ac:dyDescent="0.25">
      <c r="A341">
        <v>7086361926</v>
      </c>
      <c r="B341">
        <v>514</v>
      </c>
      <c r="C341" s="1">
        <f t="shared" si="8"/>
        <v>8.5666666666666664</v>
      </c>
    </row>
    <row r="342" spans="1:3" x14ac:dyDescent="0.25">
      <c r="A342">
        <v>7086361926</v>
      </c>
      <c r="B342">
        <v>451</v>
      </c>
      <c r="C342" s="1">
        <f t="shared" si="8"/>
        <v>7.5166666666666666</v>
      </c>
    </row>
    <row r="343" spans="1:3" x14ac:dyDescent="0.25">
      <c r="A343">
        <v>7086361926</v>
      </c>
      <c r="B343">
        <v>472</v>
      </c>
      <c r="C343" s="1">
        <f t="shared" si="8"/>
        <v>7.8666666666666663</v>
      </c>
    </row>
    <row r="344" spans="1:3" x14ac:dyDescent="0.25">
      <c r="A344">
        <v>7086361926</v>
      </c>
      <c r="B344">
        <v>377</v>
      </c>
      <c r="C344" s="1">
        <f t="shared" si="8"/>
        <v>6.2833333333333332</v>
      </c>
    </row>
    <row r="345" spans="1:3" x14ac:dyDescent="0.25">
      <c r="A345">
        <v>7086361926</v>
      </c>
      <c r="B345">
        <v>472</v>
      </c>
      <c r="C345" s="1">
        <f t="shared" si="8"/>
        <v>7.8666666666666663</v>
      </c>
    </row>
    <row r="346" spans="1:3" x14ac:dyDescent="0.25">
      <c r="A346">
        <v>7086361926</v>
      </c>
      <c r="B346">
        <v>492</v>
      </c>
      <c r="C346" s="1">
        <f t="shared" si="8"/>
        <v>8.1999999999999993</v>
      </c>
    </row>
    <row r="347" spans="1:3" x14ac:dyDescent="0.25">
      <c r="A347">
        <v>7086361926</v>
      </c>
      <c r="B347">
        <v>390</v>
      </c>
      <c r="C347" s="1">
        <f t="shared" si="8"/>
        <v>6.5</v>
      </c>
    </row>
    <row r="348" spans="1:3" x14ac:dyDescent="0.25">
      <c r="A348">
        <v>7086361926</v>
      </c>
      <c r="B348">
        <v>428</v>
      </c>
      <c r="C348" s="1">
        <f t="shared" si="8"/>
        <v>7.1333333333333337</v>
      </c>
    </row>
    <row r="349" spans="1:3" x14ac:dyDescent="0.25">
      <c r="A349">
        <v>7086361926</v>
      </c>
      <c r="B349">
        <v>681</v>
      </c>
      <c r="C349" s="1">
        <f t="shared" si="8"/>
        <v>11.35</v>
      </c>
    </row>
    <row r="350" spans="1:3" x14ac:dyDescent="0.25">
      <c r="A350">
        <v>7086361926</v>
      </c>
      <c r="B350">
        <v>446</v>
      </c>
      <c r="C350" s="1">
        <f t="shared" si="8"/>
        <v>7.4333333333333336</v>
      </c>
    </row>
    <row r="351" spans="1:3" x14ac:dyDescent="0.25">
      <c r="A351">
        <v>7086361926</v>
      </c>
      <c r="B351">
        <v>485</v>
      </c>
      <c r="C351" s="1">
        <f t="shared" si="8"/>
        <v>8.0833333333333339</v>
      </c>
    </row>
    <row r="352" spans="1:3" x14ac:dyDescent="0.25">
      <c r="A352">
        <v>7086361926</v>
      </c>
      <c r="B352">
        <v>469</v>
      </c>
      <c r="C352" s="1">
        <f t="shared" si="8"/>
        <v>7.8166666666666664</v>
      </c>
    </row>
    <row r="353" spans="1:3" x14ac:dyDescent="0.25">
      <c r="A353">
        <v>7086361926</v>
      </c>
      <c r="B353">
        <v>354</v>
      </c>
      <c r="C353" s="1">
        <f t="shared" si="8"/>
        <v>5.9</v>
      </c>
    </row>
    <row r="354" spans="1:3" x14ac:dyDescent="0.25">
      <c r="A354">
        <v>7086361926</v>
      </c>
      <c r="B354">
        <v>485</v>
      </c>
      <c r="C354" s="1">
        <f t="shared" si="8"/>
        <v>8.0833333333333339</v>
      </c>
    </row>
    <row r="355" spans="1:3" x14ac:dyDescent="0.25">
      <c r="A355">
        <v>7086361926</v>
      </c>
      <c r="B355">
        <v>388</v>
      </c>
      <c r="C355" s="1">
        <f t="shared" si="8"/>
        <v>6.4666666666666668</v>
      </c>
    </row>
    <row r="356" spans="1:3" x14ac:dyDescent="0.25">
      <c r="A356">
        <v>7086361926</v>
      </c>
      <c r="B356">
        <v>440</v>
      </c>
      <c r="C356" s="1">
        <f t="shared" si="8"/>
        <v>7.333333333333333</v>
      </c>
    </row>
    <row r="357" spans="1:3" x14ac:dyDescent="0.25">
      <c r="A357">
        <v>7086361926</v>
      </c>
      <c r="B357">
        <v>456</v>
      </c>
      <c r="C357" s="1">
        <f t="shared" si="8"/>
        <v>7.6</v>
      </c>
    </row>
    <row r="358" spans="1:3" x14ac:dyDescent="0.25">
      <c r="A358">
        <v>7086361926</v>
      </c>
      <c r="B358">
        <v>420</v>
      </c>
      <c r="C358" s="1">
        <f t="shared" si="8"/>
        <v>7</v>
      </c>
    </row>
    <row r="359" spans="1:3" x14ac:dyDescent="0.25">
      <c r="A359">
        <v>7086361926</v>
      </c>
      <c r="B359">
        <v>322</v>
      </c>
      <c r="C359" s="1">
        <f t="shared" si="8"/>
        <v>5.3666666666666663</v>
      </c>
    </row>
    <row r="360" spans="1:3" x14ac:dyDescent="0.25">
      <c r="A360">
        <v>7086361926</v>
      </c>
      <c r="B360">
        <v>530</v>
      </c>
      <c r="C360" s="1">
        <f t="shared" si="8"/>
        <v>8.8333333333333339</v>
      </c>
    </row>
    <row r="361" spans="1:3" x14ac:dyDescent="0.25">
      <c r="A361">
        <v>7086361926</v>
      </c>
      <c r="B361">
        <v>481</v>
      </c>
      <c r="C361" s="1">
        <f t="shared" si="8"/>
        <v>8.0166666666666675</v>
      </c>
    </row>
    <row r="362" spans="1:3" x14ac:dyDescent="0.25">
      <c r="A362">
        <v>7086361926</v>
      </c>
      <c r="B362">
        <v>427</v>
      </c>
      <c r="C362" s="1">
        <f t="shared" si="8"/>
        <v>7.1166666666666663</v>
      </c>
    </row>
    <row r="363" spans="1:3" x14ac:dyDescent="0.25">
      <c r="A363">
        <v>7086361926</v>
      </c>
      <c r="B363">
        <v>451</v>
      </c>
      <c r="C363" s="1">
        <f t="shared" si="8"/>
        <v>7.5166666666666666</v>
      </c>
    </row>
    <row r="364" spans="1:3" x14ac:dyDescent="0.25">
      <c r="A364">
        <v>7086361926</v>
      </c>
      <c r="B364">
        <v>444</v>
      </c>
      <c r="C364" s="1">
        <f t="shared" si="8"/>
        <v>7.4</v>
      </c>
    </row>
    <row r="365" spans="1:3" x14ac:dyDescent="0.25">
      <c r="A365">
        <v>8053475328</v>
      </c>
      <c r="B365">
        <v>486</v>
      </c>
      <c r="C365" s="1">
        <f t="shared" si="8"/>
        <v>8.1</v>
      </c>
    </row>
    <row r="366" spans="1:3" x14ac:dyDescent="0.25">
      <c r="A366">
        <v>8053475328</v>
      </c>
      <c r="B366">
        <v>331</v>
      </c>
      <c r="C366" s="1">
        <f t="shared" si="8"/>
        <v>5.5166666666666666</v>
      </c>
    </row>
    <row r="367" spans="1:3" x14ac:dyDescent="0.25">
      <c r="A367">
        <v>8053475328</v>
      </c>
      <c r="B367">
        <v>74</v>
      </c>
      <c r="C367" s="1">
        <f t="shared" si="8"/>
        <v>1.2333333333333334</v>
      </c>
    </row>
    <row r="368" spans="1:3" x14ac:dyDescent="0.25">
      <c r="A368">
        <v>8378563200</v>
      </c>
      <c r="B368">
        <v>338</v>
      </c>
      <c r="C368" s="1">
        <f t="shared" si="8"/>
        <v>5.6333333333333337</v>
      </c>
    </row>
    <row r="369" spans="1:3" x14ac:dyDescent="0.25">
      <c r="A369">
        <v>8378563200</v>
      </c>
      <c r="B369">
        <v>447</v>
      </c>
      <c r="C369" s="1">
        <f t="shared" si="8"/>
        <v>7.45</v>
      </c>
    </row>
    <row r="370" spans="1:3" x14ac:dyDescent="0.25">
      <c r="A370">
        <v>8378563200</v>
      </c>
      <c r="B370">
        <v>424</v>
      </c>
      <c r="C370" s="1">
        <f t="shared" si="8"/>
        <v>7.0666666666666664</v>
      </c>
    </row>
    <row r="371" spans="1:3" x14ac:dyDescent="0.25">
      <c r="A371">
        <v>8378563200</v>
      </c>
      <c r="B371">
        <v>513</v>
      </c>
      <c r="C371" s="1">
        <f t="shared" si="8"/>
        <v>8.5500000000000007</v>
      </c>
    </row>
    <row r="372" spans="1:3" x14ac:dyDescent="0.25">
      <c r="A372">
        <v>8378563200</v>
      </c>
      <c r="B372">
        <v>611</v>
      </c>
      <c r="C372" s="1">
        <f t="shared" si="8"/>
        <v>10.183333333333334</v>
      </c>
    </row>
    <row r="373" spans="1:3" x14ac:dyDescent="0.25">
      <c r="A373">
        <v>8378563200</v>
      </c>
      <c r="B373">
        <v>525</v>
      </c>
      <c r="C373" s="1">
        <f t="shared" si="8"/>
        <v>8.75</v>
      </c>
    </row>
    <row r="374" spans="1:3" x14ac:dyDescent="0.25">
      <c r="A374">
        <v>8378563200</v>
      </c>
      <c r="B374">
        <v>398</v>
      </c>
      <c r="C374" s="1">
        <f t="shared" si="8"/>
        <v>6.6333333333333337</v>
      </c>
    </row>
    <row r="375" spans="1:3" x14ac:dyDescent="0.25">
      <c r="A375">
        <v>8378563200</v>
      </c>
      <c r="B375">
        <v>387</v>
      </c>
      <c r="C375" s="1">
        <f t="shared" si="8"/>
        <v>6.45</v>
      </c>
    </row>
    <row r="376" spans="1:3" x14ac:dyDescent="0.25">
      <c r="A376">
        <v>8378563200</v>
      </c>
      <c r="B376">
        <v>381</v>
      </c>
      <c r="C376" s="1">
        <f t="shared" si="8"/>
        <v>6.35</v>
      </c>
    </row>
    <row r="377" spans="1:3" x14ac:dyDescent="0.25">
      <c r="A377">
        <v>8378563200</v>
      </c>
      <c r="B377">
        <v>396</v>
      </c>
      <c r="C377" s="1">
        <f t="shared" si="8"/>
        <v>6.6</v>
      </c>
    </row>
    <row r="378" spans="1:3" x14ac:dyDescent="0.25">
      <c r="A378">
        <v>8378563200</v>
      </c>
      <c r="B378">
        <v>441</v>
      </c>
      <c r="C378" s="1">
        <f t="shared" si="8"/>
        <v>7.35</v>
      </c>
    </row>
    <row r="379" spans="1:3" x14ac:dyDescent="0.25">
      <c r="A379">
        <v>8378563200</v>
      </c>
      <c r="B379">
        <v>565</v>
      </c>
      <c r="C379" s="1">
        <f t="shared" si="8"/>
        <v>9.4166666666666661</v>
      </c>
    </row>
    <row r="380" spans="1:3" x14ac:dyDescent="0.25">
      <c r="A380">
        <v>8378563200</v>
      </c>
      <c r="B380">
        <v>458</v>
      </c>
      <c r="C380" s="1">
        <f t="shared" si="8"/>
        <v>7.6333333333333337</v>
      </c>
    </row>
    <row r="381" spans="1:3" x14ac:dyDescent="0.25">
      <c r="A381">
        <v>8378563200</v>
      </c>
      <c r="B381">
        <v>388</v>
      </c>
      <c r="C381" s="1">
        <f t="shared" si="8"/>
        <v>6.4666666666666668</v>
      </c>
    </row>
    <row r="382" spans="1:3" x14ac:dyDescent="0.25">
      <c r="A382">
        <v>8378563200</v>
      </c>
      <c r="B382">
        <v>388</v>
      </c>
      <c r="C382" s="1">
        <f t="shared" si="8"/>
        <v>6.4666666666666668</v>
      </c>
    </row>
    <row r="383" spans="1:3" x14ac:dyDescent="0.25">
      <c r="A383">
        <v>8378563200</v>
      </c>
      <c r="B383">
        <v>550</v>
      </c>
      <c r="C383" s="1">
        <f t="shared" si="8"/>
        <v>9.1666666666666661</v>
      </c>
    </row>
    <row r="384" spans="1:3" x14ac:dyDescent="0.25">
      <c r="A384">
        <v>8378563200</v>
      </c>
      <c r="B384">
        <v>531</v>
      </c>
      <c r="C384" s="1">
        <f t="shared" si="8"/>
        <v>8.85</v>
      </c>
    </row>
    <row r="385" spans="1:3" x14ac:dyDescent="0.25">
      <c r="A385">
        <v>8378563200</v>
      </c>
      <c r="B385">
        <v>506</v>
      </c>
      <c r="C385" s="1">
        <f t="shared" si="8"/>
        <v>8.4333333333333336</v>
      </c>
    </row>
    <row r="386" spans="1:3" x14ac:dyDescent="0.25">
      <c r="A386">
        <v>8378563200</v>
      </c>
      <c r="B386">
        <v>527</v>
      </c>
      <c r="C386" s="1">
        <f t="shared" si="8"/>
        <v>8.7833333333333332</v>
      </c>
    </row>
    <row r="387" spans="1:3" x14ac:dyDescent="0.25">
      <c r="A387">
        <v>8378563200</v>
      </c>
      <c r="B387">
        <v>468</v>
      </c>
      <c r="C387" s="1">
        <f t="shared" ref="C387:C414" si="9">B387/60</f>
        <v>7.8</v>
      </c>
    </row>
    <row r="388" spans="1:3" x14ac:dyDescent="0.25">
      <c r="A388">
        <v>8378563200</v>
      </c>
      <c r="B388">
        <v>475</v>
      </c>
      <c r="C388" s="1">
        <f t="shared" si="9"/>
        <v>7.916666666666667</v>
      </c>
    </row>
    <row r="389" spans="1:3" x14ac:dyDescent="0.25">
      <c r="A389">
        <v>8378563200</v>
      </c>
      <c r="B389">
        <v>351</v>
      </c>
      <c r="C389" s="1">
        <f t="shared" si="9"/>
        <v>5.85</v>
      </c>
    </row>
    <row r="390" spans="1:3" x14ac:dyDescent="0.25">
      <c r="A390">
        <v>8378563200</v>
      </c>
      <c r="B390">
        <v>405</v>
      </c>
      <c r="C390" s="1">
        <f t="shared" si="9"/>
        <v>6.75</v>
      </c>
    </row>
    <row r="391" spans="1:3" x14ac:dyDescent="0.25">
      <c r="A391">
        <v>8378563200</v>
      </c>
      <c r="B391">
        <v>441</v>
      </c>
      <c r="C391" s="1">
        <f t="shared" si="9"/>
        <v>7.35</v>
      </c>
    </row>
    <row r="392" spans="1:3" x14ac:dyDescent="0.25">
      <c r="A392">
        <v>8378563200</v>
      </c>
      <c r="B392">
        <v>381</v>
      </c>
      <c r="C392" s="1">
        <f t="shared" si="9"/>
        <v>6.35</v>
      </c>
    </row>
    <row r="393" spans="1:3" x14ac:dyDescent="0.25">
      <c r="A393">
        <v>8378563200</v>
      </c>
      <c r="B393">
        <v>323</v>
      </c>
      <c r="C393" s="1">
        <f t="shared" si="9"/>
        <v>5.3833333333333337</v>
      </c>
    </row>
    <row r="394" spans="1:3" x14ac:dyDescent="0.25">
      <c r="A394">
        <v>8378563200</v>
      </c>
      <c r="B394">
        <v>459</v>
      </c>
      <c r="C394" s="1">
        <f t="shared" si="9"/>
        <v>7.65</v>
      </c>
    </row>
    <row r="395" spans="1:3" x14ac:dyDescent="0.25">
      <c r="A395">
        <v>8378563200</v>
      </c>
      <c r="B395">
        <v>545</v>
      </c>
      <c r="C395" s="1">
        <f t="shared" si="9"/>
        <v>9.0833333333333339</v>
      </c>
    </row>
    <row r="396" spans="1:3" x14ac:dyDescent="0.25">
      <c r="A396">
        <v>8378563200</v>
      </c>
      <c r="B396">
        <v>359</v>
      </c>
      <c r="C396" s="1">
        <f t="shared" si="9"/>
        <v>5.9833333333333334</v>
      </c>
    </row>
    <row r="397" spans="1:3" x14ac:dyDescent="0.25">
      <c r="A397">
        <v>8378563200</v>
      </c>
      <c r="B397">
        <v>342</v>
      </c>
      <c r="C397" s="1">
        <f t="shared" si="9"/>
        <v>5.7</v>
      </c>
    </row>
    <row r="398" spans="1:3" x14ac:dyDescent="0.25">
      <c r="A398">
        <v>8378563200</v>
      </c>
      <c r="B398">
        <v>368</v>
      </c>
      <c r="C398" s="1">
        <f t="shared" si="9"/>
        <v>6.1333333333333337</v>
      </c>
    </row>
    <row r="399" spans="1:3" x14ac:dyDescent="0.25">
      <c r="A399">
        <v>8378563200</v>
      </c>
      <c r="B399">
        <v>496</v>
      </c>
      <c r="C399" s="1">
        <f t="shared" si="9"/>
        <v>8.2666666666666675</v>
      </c>
    </row>
    <row r="400" spans="1:3" x14ac:dyDescent="0.25">
      <c r="A400">
        <v>8792009665</v>
      </c>
      <c r="B400">
        <v>458</v>
      </c>
      <c r="C400" s="1">
        <f t="shared" si="9"/>
        <v>7.6333333333333337</v>
      </c>
    </row>
    <row r="401" spans="1:3" x14ac:dyDescent="0.25">
      <c r="A401">
        <v>8792009665</v>
      </c>
      <c r="B401">
        <v>531</v>
      </c>
      <c r="C401" s="1">
        <f t="shared" si="9"/>
        <v>8.85</v>
      </c>
    </row>
    <row r="402" spans="1:3" x14ac:dyDescent="0.25">
      <c r="A402">
        <v>8792009665</v>
      </c>
      <c r="B402">
        <v>486</v>
      </c>
      <c r="C402" s="1">
        <f t="shared" si="9"/>
        <v>8.1</v>
      </c>
    </row>
    <row r="403" spans="1:3" x14ac:dyDescent="0.25">
      <c r="A403">
        <v>8792009665</v>
      </c>
      <c r="B403">
        <v>363</v>
      </c>
      <c r="C403" s="1">
        <f t="shared" si="9"/>
        <v>6.05</v>
      </c>
    </row>
    <row r="404" spans="1:3" x14ac:dyDescent="0.25">
      <c r="A404">
        <v>8792009665</v>
      </c>
      <c r="B404">
        <v>528</v>
      </c>
      <c r="C404" s="1">
        <f t="shared" si="9"/>
        <v>8.8000000000000007</v>
      </c>
    </row>
    <row r="405" spans="1:3" x14ac:dyDescent="0.25">
      <c r="A405">
        <v>8792009665</v>
      </c>
      <c r="B405">
        <v>391</v>
      </c>
      <c r="C405" s="1">
        <f t="shared" si="9"/>
        <v>6.5166666666666666</v>
      </c>
    </row>
    <row r="406" spans="1:3" x14ac:dyDescent="0.25">
      <c r="A406">
        <v>8792009665</v>
      </c>
      <c r="B406">
        <v>339</v>
      </c>
      <c r="C406" s="1">
        <f t="shared" si="9"/>
        <v>5.65</v>
      </c>
    </row>
    <row r="407" spans="1:3" x14ac:dyDescent="0.25">
      <c r="A407">
        <v>8792009665</v>
      </c>
      <c r="B407">
        <v>423</v>
      </c>
      <c r="C407" s="1">
        <f t="shared" si="9"/>
        <v>7.05</v>
      </c>
    </row>
    <row r="408" spans="1:3" x14ac:dyDescent="0.25">
      <c r="A408">
        <v>8792009665</v>
      </c>
      <c r="B408">
        <v>402</v>
      </c>
      <c r="C408" s="1">
        <f t="shared" si="9"/>
        <v>6.7</v>
      </c>
    </row>
    <row r="409" spans="1:3" x14ac:dyDescent="0.25">
      <c r="A409">
        <v>8792009665</v>
      </c>
      <c r="B409">
        <v>398</v>
      </c>
      <c r="C409" s="1">
        <f t="shared" si="9"/>
        <v>6.6333333333333337</v>
      </c>
    </row>
    <row r="410" spans="1:3" x14ac:dyDescent="0.25">
      <c r="A410">
        <v>8792009665</v>
      </c>
      <c r="B410">
        <v>343</v>
      </c>
      <c r="C410" s="1">
        <f t="shared" si="9"/>
        <v>5.7166666666666668</v>
      </c>
    </row>
    <row r="411" spans="1:3" x14ac:dyDescent="0.25">
      <c r="A411">
        <v>8792009665</v>
      </c>
      <c r="B411">
        <v>503</v>
      </c>
      <c r="C411" s="1">
        <f t="shared" si="9"/>
        <v>8.3833333333333329</v>
      </c>
    </row>
    <row r="412" spans="1:3" x14ac:dyDescent="0.25">
      <c r="A412">
        <v>8792009665</v>
      </c>
      <c r="B412">
        <v>415</v>
      </c>
      <c r="C412" s="1">
        <f t="shared" si="9"/>
        <v>6.916666666666667</v>
      </c>
    </row>
    <row r="413" spans="1:3" x14ac:dyDescent="0.25">
      <c r="A413">
        <v>8792009665</v>
      </c>
      <c r="B413">
        <v>516</v>
      </c>
      <c r="C413" s="1">
        <f t="shared" si="9"/>
        <v>8.6</v>
      </c>
    </row>
    <row r="414" spans="1:3" x14ac:dyDescent="0.25">
      <c r="A414">
        <v>8792009665</v>
      </c>
      <c r="B414">
        <v>439</v>
      </c>
      <c r="C414" s="1">
        <f t="shared" si="9"/>
        <v>7.3166666666666664</v>
      </c>
    </row>
  </sheetData>
  <conditionalFormatting sqref="F26:F1048576 F1:G1">
    <cfRule type="colorScale" priority="3">
      <colorScale>
        <cfvo type="formula" val="$F$2"/>
        <cfvo type="formula" val="$F$4"/>
        <cfvo type="formula" val="$F$8"/>
        <color rgb="FFFF0000"/>
        <color rgb="FFFFEB84"/>
        <color rgb="FF92D050"/>
      </colorScale>
    </cfRule>
  </conditionalFormatting>
  <conditionalFormatting sqref="F2:F25">
    <cfRule type="cellIs" dxfId="0" priority="1" operator="between">
      <formula>$F$4</formula>
      <formula>$F$5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2"/>
  <sheetViews>
    <sheetView workbookViewId="0">
      <selection activeCell="O20" sqref="O20"/>
    </sheetView>
  </sheetViews>
  <sheetFormatPr defaultRowHeight="15" x14ac:dyDescent="0.25"/>
  <cols>
    <col min="1" max="1" width="20" bestFit="1" customWidth="1"/>
    <col min="2" max="2" width="18.85546875" bestFit="1" customWidth="1"/>
  </cols>
  <sheetData>
    <row r="2" spans="1:2" x14ac:dyDescent="0.25">
      <c r="A2" s="9" t="s">
        <v>5</v>
      </c>
    </row>
    <row r="3" spans="1:2" x14ac:dyDescent="0.25">
      <c r="A3" s="5" t="s">
        <v>6</v>
      </c>
      <c r="B3" t="s">
        <v>13</v>
      </c>
    </row>
    <row r="4" spans="1:2" x14ac:dyDescent="0.25">
      <c r="A4" s="6" t="s">
        <v>7</v>
      </c>
      <c r="B4" s="7">
        <v>10</v>
      </c>
    </row>
    <row r="5" spans="1:2" x14ac:dyDescent="0.25">
      <c r="A5" s="6" t="s">
        <v>8</v>
      </c>
      <c r="B5" s="7">
        <v>12</v>
      </c>
    </row>
    <row r="6" spans="1:2" x14ac:dyDescent="0.25">
      <c r="A6" s="6" t="s">
        <v>9</v>
      </c>
      <c r="B6" s="7">
        <v>2</v>
      </c>
    </row>
    <row r="7" spans="1:2" x14ac:dyDescent="0.25">
      <c r="A7" s="6" t="s">
        <v>10</v>
      </c>
      <c r="B7" s="7">
        <v>24</v>
      </c>
    </row>
    <row r="8" spans="1:2" x14ac:dyDescent="0.25">
      <c r="A8" s="10" t="s">
        <v>11</v>
      </c>
    </row>
    <row r="9" spans="1:2" x14ac:dyDescent="0.25">
      <c r="A9" s="5" t="s">
        <v>6</v>
      </c>
      <c r="B9" t="s">
        <v>13</v>
      </c>
    </row>
    <row r="10" spans="1:2" x14ac:dyDescent="0.25">
      <c r="A10" s="6" t="s">
        <v>12</v>
      </c>
      <c r="B10" s="7">
        <v>10</v>
      </c>
    </row>
    <row r="11" spans="1:2" x14ac:dyDescent="0.25">
      <c r="A11" s="6" t="s">
        <v>11</v>
      </c>
      <c r="B11" s="7">
        <v>14</v>
      </c>
    </row>
    <row r="12" spans="1:2" x14ac:dyDescent="0.25">
      <c r="A12" s="6" t="s">
        <v>10</v>
      </c>
      <c r="B12" s="7">
        <v>24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0A3CE-347B-4529-82B4-6CC4C3C2B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Task3</vt:lpstr>
      <vt:lpstr>Analysis</vt:lpstr>
      <vt:lpstr>Task3!Extract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Gandhi</dc:creator>
  <cp:lastModifiedBy>Kuber Gandhi</cp:lastModifiedBy>
  <dcterms:created xsi:type="dcterms:W3CDTF">2024-05-18T04:49:16Z</dcterms:created>
  <dcterms:modified xsi:type="dcterms:W3CDTF">2024-05-18T12:05:52Z</dcterms:modified>
</cp:coreProperties>
</file>